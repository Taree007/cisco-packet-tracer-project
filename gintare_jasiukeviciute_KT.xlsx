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ktuedu-my.sharepoint.com/personal/ginjas2_ktu_lt/Documents/5sem/tinklai/KT prijektas/"/>
    </mc:Choice>
  </mc:AlternateContent>
  <xr:revisionPtr revIDLastSave="0" documentId="8_{A7281B9D-8BCD-44E6-8105-624A398C236C}" xr6:coauthVersionLast="47" xr6:coauthVersionMax="47" xr10:uidLastSave="{00000000-0000-0000-0000-000000000000}"/>
  <bookViews>
    <workbookView xWindow="-110" yWindow="-110" windowWidth="25820" windowHeight="13900" xr2:uid="{EC657E38-459E-4C08-8F4D-E56E4F05211E}"/>
  </bookViews>
  <sheets>
    <sheet name="Ataskaita" sheetId="3" r:id="rId1"/>
    <sheet name="juodrast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3" l="1"/>
  <c r="M15" i="3"/>
  <c r="M14" i="3"/>
  <c r="M13" i="3"/>
  <c r="M12" i="3"/>
  <c r="M11" i="3"/>
  <c r="M10" i="3"/>
  <c r="M9" i="3"/>
  <c r="M8" i="3"/>
  <c r="M7" i="3"/>
  <c r="M6" i="3"/>
  <c r="M5" i="3"/>
  <c r="M4" i="3"/>
  <c r="AK19" i="2"/>
  <c r="AL33" i="2"/>
  <c r="U8" i="2"/>
  <c r="U18" i="2"/>
  <c r="U7" i="2"/>
  <c r="U17" i="2"/>
  <c r="U9" i="2"/>
  <c r="U19" i="2"/>
  <c r="U16" i="2"/>
  <c r="U15" i="2"/>
  <c r="U14" i="2"/>
  <c r="U13" i="2"/>
  <c r="U12" i="2"/>
  <c r="U11" i="2"/>
  <c r="U10" i="2"/>
  <c r="L38" i="2"/>
  <c r="L39" i="2"/>
  <c r="L36" i="2"/>
  <c r="L37" i="2"/>
  <c r="L35" i="2"/>
  <c r="L34" i="2"/>
  <c r="L33" i="2"/>
  <c r="L32" i="2"/>
  <c r="L31" i="2"/>
  <c r="L30" i="2"/>
  <c r="L29" i="2"/>
  <c r="L28" i="2"/>
  <c r="L27" i="2"/>
</calcChain>
</file>

<file path=xl/sharedStrings.xml><?xml version="1.0" encoding="utf-8"?>
<sst xmlns="http://schemas.openxmlformats.org/spreadsheetml/2006/main" count="976" uniqueCount="165">
  <si>
    <t>Mokyklų tinklų konfigūracija</t>
  </si>
  <si>
    <t>Jpg Nr</t>
  </si>
  <si>
    <t>IP numerių intervalai</t>
  </si>
  <si>
    <t>Viešiems tinklams</t>
  </si>
  <si>
    <t>Administracijų tinklams</t>
  </si>
  <si>
    <t>Tarnybiniams ryšiams</t>
  </si>
  <si>
    <t>22v</t>
  </si>
  <si>
    <t>IP adresų paskirstymo potinkliams lentelė</t>
  </si>
  <si>
    <t>LAN</t>
  </si>
  <si>
    <t>Numeruojama sąsajų</t>
  </si>
  <si>
    <t>Potinklio tipas</t>
  </si>
  <si>
    <t>Potinklio dydis</t>
  </si>
  <si>
    <t>Prefiksas</t>
  </si>
  <si>
    <t>Kaukė</t>
  </si>
  <si>
    <t>Adresų segmentas nuo - iki</t>
  </si>
  <si>
    <t>Administracinis</t>
  </si>
  <si>
    <t>Tarnybinis</t>
  </si>
  <si>
    <t>/30</t>
  </si>
  <si>
    <t>/28</t>
  </si>
  <si>
    <t>/29</t>
  </si>
  <si>
    <t>/27</t>
  </si>
  <si>
    <t>255.255.255.240</t>
  </si>
  <si>
    <t>255.255.255.248</t>
  </si>
  <si>
    <t>255.255.255.224</t>
  </si>
  <si>
    <t>Kiekvienam segmente panaudotų ir likusių laisvų adresų lentelė</t>
  </si>
  <si>
    <t>Duomenų segmento paskirtis</t>
  </si>
  <si>
    <t>Duotas segmentas</t>
  </si>
  <si>
    <t>Panaudota</t>
  </si>
  <si>
    <t>Liko laisvų</t>
  </si>
  <si>
    <t>Viešiems mokyklų tinklams</t>
  </si>
  <si>
    <t>Papildoma lentelė</t>
  </si>
  <si>
    <t>PC kiekis</t>
  </si>
  <si>
    <t>Adresai kompiuteriams</t>
  </si>
  <si>
    <t>Serverio adresas</t>
  </si>
  <si>
    <t>Gateway adresas</t>
  </si>
  <si>
    <t>Tinklo IP adresas</t>
  </si>
  <si>
    <t>Per kurį maršrutizatorių</t>
  </si>
  <si>
    <t>Tiesiai</t>
  </si>
  <si>
    <t>Sekančio šuolio adresas</t>
  </si>
  <si>
    <t xml:space="preserve"> (11v+3a)</t>
  </si>
  <si>
    <t>18v+R</t>
  </si>
  <si>
    <t>18v+10a</t>
  </si>
  <si>
    <t>15v+7a</t>
  </si>
  <si>
    <t>222.222.8.0/23</t>
  </si>
  <si>
    <t>111.111.24.0/25</t>
  </si>
  <si>
    <t>10.10.1.32/27</t>
  </si>
  <si>
    <t>Ukm</t>
  </si>
  <si>
    <t>1+1</t>
  </si>
  <si>
    <t>Rukm-Rsiesk</t>
  </si>
  <si>
    <t>Rukm-Rvep</t>
  </si>
  <si>
    <t>Rukm-Rvid</t>
  </si>
  <si>
    <t>siesk</t>
  </si>
  <si>
    <t>18+1</t>
  </si>
  <si>
    <t>žem</t>
  </si>
  <si>
    <t>22+1</t>
  </si>
  <si>
    <t>vep-v</t>
  </si>
  <si>
    <t>11+1</t>
  </si>
  <si>
    <t>vep-a</t>
  </si>
  <si>
    <t>3+1</t>
  </si>
  <si>
    <t>pab-v</t>
  </si>
  <si>
    <t>15+1</t>
  </si>
  <si>
    <t>pab-a</t>
  </si>
  <si>
    <t>7+1</t>
  </si>
  <si>
    <t>vid-v</t>
  </si>
  <si>
    <t>vid-a</t>
  </si>
  <si>
    <t>10+1</t>
  </si>
  <si>
    <t>viešas</t>
  </si>
  <si>
    <t xml:space="preserve">255.255.255.224 </t>
  </si>
  <si>
    <r>
      <rPr>
        <b/>
        <sz val="11"/>
        <color theme="1"/>
        <rFont val="Aptos Narrow"/>
        <family val="2"/>
        <scheme val="minor"/>
      </rPr>
      <t>Pastaba: segmento pradžios adresas</t>
    </r>
    <r>
      <rPr>
        <b/>
        <u/>
        <sz val="11"/>
        <color theme="1"/>
        <rFont val="Aptos Narrow"/>
        <family val="2"/>
        <scheme val="minor"/>
      </rPr>
      <t xml:space="preserve"> visada turi dalintis</t>
    </r>
    <r>
      <rPr>
        <b/>
        <sz val="11"/>
        <color theme="1"/>
        <rFont val="Aptos Narrow"/>
        <family val="2"/>
        <scheme val="minor"/>
      </rPr>
      <t xml:space="preserve"> iš segmento dydžio.</t>
    </r>
    <r>
      <rPr>
        <sz val="11"/>
        <color theme="1"/>
        <rFont val="Aptos Narrow"/>
        <family val="2"/>
        <charset val="186"/>
        <scheme val="minor"/>
      </rPr>
      <t xml:space="preserve"> Taigi, jei Sku potinkliui skiriame 4 adresus 192.168.0.0/30,tai sekančiam 16 adresų potinkliui ale-a mes negalime skirti 16 adresų nuo 192.168.0.4/28, o turime skirti nuo 192.168.0.16/28. Problemos galima išvengti pirmiau skiriant adresus didesniems potinkliams, pvz. išdėsčius potinklius lentelėje mažėjimo tvarka:</t>
    </r>
  </si>
  <si>
    <t xml:space="preserve">255.255.255.252 </t>
  </si>
  <si>
    <t xml:space="preserve">Viešiems mokyklų tinklams </t>
  </si>
  <si>
    <t xml:space="preserve">Administracijų tinklams </t>
  </si>
  <si>
    <r>
      <t>111.111.24.</t>
    </r>
    <r>
      <rPr>
        <b/>
        <sz val="11"/>
        <color theme="1"/>
        <rFont val="Times New Roman"/>
        <family val="1"/>
      </rPr>
      <t>0</t>
    </r>
    <r>
      <rPr>
        <sz val="11"/>
        <color theme="1"/>
        <rFont val="Times New Roman"/>
        <family val="1"/>
      </rPr>
      <t xml:space="preserve"> - 111.111.24.</t>
    </r>
    <r>
      <rPr>
        <b/>
        <sz val="11"/>
        <color theme="1"/>
        <rFont val="Times New Roman"/>
        <family val="1"/>
      </rPr>
      <t>15</t>
    </r>
  </si>
  <si>
    <r>
      <t>111.111.24.</t>
    </r>
    <r>
      <rPr>
        <b/>
        <sz val="11"/>
        <color theme="1"/>
        <rFont val="Times New Roman"/>
        <family val="1"/>
      </rPr>
      <t>16</t>
    </r>
    <r>
      <rPr>
        <sz val="11"/>
        <color theme="1"/>
        <rFont val="Times New Roman"/>
        <family val="1"/>
      </rPr>
      <t xml:space="preserve"> - 111.111.24.</t>
    </r>
    <r>
      <rPr>
        <b/>
        <sz val="11"/>
        <color theme="1"/>
        <rFont val="Times New Roman"/>
        <family val="1"/>
      </rPr>
      <t>31</t>
    </r>
  </si>
  <si>
    <r>
      <t>111.111.24.</t>
    </r>
    <r>
      <rPr>
        <b/>
        <sz val="11"/>
        <color theme="1"/>
        <rFont val="Times New Roman"/>
        <family val="1"/>
      </rPr>
      <t>32</t>
    </r>
    <r>
      <rPr>
        <sz val="11"/>
        <color theme="1"/>
        <rFont val="Times New Roman"/>
        <family val="1"/>
      </rPr>
      <t xml:space="preserve"> - 111.111.24.</t>
    </r>
    <r>
      <rPr>
        <b/>
        <sz val="11"/>
        <color theme="1"/>
        <rFont val="Times New Roman"/>
        <family val="1"/>
      </rPr>
      <t>39</t>
    </r>
  </si>
  <si>
    <r>
      <t>111.111.24.</t>
    </r>
    <r>
      <rPr>
        <b/>
        <sz val="11"/>
        <color theme="1"/>
        <rFont val="Times New Roman"/>
        <family val="1"/>
      </rPr>
      <t>40</t>
    </r>
    <r>
      <rPr>
        <sz val="11"/>
        <color theme="1"/>
        <rFont val="Times New Roman"/>
        <family val="1"/>
      </rPr>
      <t xml:space="preserve"> - 111.111.24.</t>
    </r>
    <r>
      <rPr>
        <b/>
        <sz val="11"/>
        <color theme="1"/>
        <rFont val="Times New Roman"/>
        <family val="1"/>
      </rPr>
      <t>43</t>
    </r>
  </si>
  <si>
    <r>
      <t>10.10.1.</t>
    </r>
    <r>
      <rPr>
        <b/>
        <sz val="11"/>
        <color theme="1"/>
        <rFont val="Times New Roman"/>
        <family val="1"/>
      </rPr>
      <t>32</t>
    </r>
    <r>
      <rPr>
        <sz val="11"/>
        <color theme="1"/>
        <rFont val="Times New Roman"/>
        <family val="1"/>
      </rPr>
      <t xml:space="preserve"> - 10.10.1.</t>
    </r>
    <r>
      <rPr>
        <b/>
        <sz val="11"/>
        <color theme="1"/>
        <rFont val="Times New Roman"/>
        <family val="1"/>
      </rPr>
      <t>35</t>
    </r>
  </si>
  <si>
    <r>
      <t>10.10.1.</t>
    </r>
    <r>
      <rPr>
        <b/>
        <sz val="11"/>
        <color theme="1"/>
        <rFont val="Times New Roman"/>
        <family val="1"/>
      </rPr>
      <t>36</t>
    </r>
    <r>
      <rPr>
        <sz val="11"/>
        <color theme="1"/>
        <rFont val="Times New Roman"/>
        <family val="1"/>
      </rPr>
      <t xml:space="preserve"> - 10.10.1.</t>
    </r>
    <r>
      <rPr>
        <b/>
        <sz val="11"/>
        <color theme="1"/>
        <rFont val="Times New Roman"/>
        <family val="1"/>
      </rPr>
      <t>39</t>
    </r>
  </si>
  <si>
    <r>
      <t>10.10.1.</t>
    </r>
    <r>
      <rPr>
        <b/>
        <sz val="11"/>
        <color theme="1"/>
        <rFont val="Times New Roman"/>
        <family val="1"/>
      </rPr>
      <t>40</t>
    </r>
    <r>
      <rPr>
        <sz val="11"/>
        <color theme="1"/>
        <rFont val="Times New Roman"/>
        <family val="1"/>
      </rPr>
      <t xml:space="preserve"> - 10.10.1.</t>
    </r>
    <r>
      <rPr>
        <b/>
        <sz val="11"/>
        <color theme="1"/>
        <rFont val="Times New Roman"/>
        <family val="1"/>
      </rPr>
      <t>43</t>
    </r>
  </si>
  <si>
    <r>
      <t>10.10.1.</t>
    </r>
    <r>
      <rPr>
        <b/>
        <sz val="11"/>
        <color theme="1"/>
        <rFont val="Times New Roman"/>
        <family val="1"/>
      </rPr>
      <t>44</t>
    </r>
    <r>
      <rPr>
        <sz val="11"/>
        <color theme="1"/>
        <rFont val="Times New Roman"/>
        <family val="1"/>
      </rPr>
      <t xml:space="preserve"> - 10.10.1.</t>
    </r>
    <r>
      <rPr>
        <b/>
        <sz val="11"/>
        <color theme="1"/>
        <rFont val="Times New Roman"/>
        <family val="1"/>
      </rPr>
      <t>47</t>
    </r>
  </si>
  <si>
    <r>
      <t>222.222.8.</t>
    </r>
    <r>
      <rPr>
        <b/>
        <sz val="11"/>
        <color theme="1"/>
        <rFont val="Times New Roman"/>
        <family val="1"/>
      </rPr>
      <t>0</t>
    </r>
    <r>
      <rPr>
        <sz val="11"/>
        <color theme="1"/>
        <rFont val="Times New Roman"/>
        <family val="1"/>
      </rPr>
      <t xml:space="preserve"> - 222.222.8.</t>
    </r>
    <r>
      <rPr>
        <b/>
        <sz val="11"/>
        <color theme="1"/>
        <rFont val="Times New Roman"/>
        <family val="1"/>
      </rPr>
      <t>31</t>
    </r>
  </si>
  <si>
    <r>
      <t>222.222.8.</t>
    </r>
    <r>
      <rPr>
        <b/>
        <sz val="11"/>
        <color theme="1"/>
        <rFont val="Times New Roman"/>
        <family val="1"/>
      </rPr>
      <t>32</t>
    </r>
    <r>
      <rPr>
        <sz val="11"/>
        <color theme="1"/>
        <rFont val="Times New Roman"/>
        <family val="1"/>
      </rPr>
      <t xml:space="preserve"> - 222.222.8.</t>
    </r>
    <r>
      <rPr>
        <b/>
        <sz val="11"/>
        <color theme="1"/>
        <rFont val="Times New Roman"/>
        <family val="1"/>
      </rPr>
      <t>63</t>
    </r>
  </si>
  <si>
    <r>
      <t>222.222.8.</t>
    </r>
    <r>
      <rPr>
        <b/>
        <sz val="11"/>
        <color theme="1"/>
        <rFont val="Times New Roman"/>
        <family val="1"/>
      </rPr>
      <t>64</t>
    </r>
    <r>
      <rPr>
        <sz val="11"/>
        <color theme="1"/>
        <rFont val="Times New Roman"/>
        <family val="1"/>
      </rPr>
      <t xml:space="preserve"> - 222.222.8.</t>
    </r>
    <r>
      <rPr>
        <b/>
        <sz val="11"/>
        <color theme="1"/>
        <rFont val="Times New Roman"/>
        <family val="1"/>
      </rPr>
      <t>95</t>
    </r>
  </si>
  <si>
    <r>
      <t>222.222.8.</t>
    </r>
    <r>
      <rPr>
        <b/>
        <sz val="11"/>
        <color theme="1"/>
        <rFont val="Times New Roman"/>
        <family val="1"/>
      </rPr>
      <t>96</t>
    </r>
    <r>
      <rPr>
        <sz val="11"/>
        <color theme="1"/>
        <rFont val="Times New Roman"/>
        <family val="1"/>
      </rPr>
      <t xml:space="preserve"> - 222.222.8.</t>
    </r>
    <r>
      <rPr>
        <b/>
        <sz val="11"/>
        <color theme="1"/>
        <rFont val="Times New Roman"/>
        <family val="1"/>
      </rPr>
      <t>127</t>
    </r>
  </si>
  <si>
    <r>
      <t>222.222.8.</t>
    </r>
    <r>
      <rPr>
        <b/>
        <sz val="11"/>
        <color theme="1"/>
        <rFont val="Times New Roman"/>
        <family val="1"/>
      </rPr>
      <t>128</t>
    </r>
    <r>
      <rPr>
        <sz val="11"/>
        <color theme="1"/>
        <rFont val="Times New Roman"/>
        <family val="1"/>
      </rPr>
      <t xml:space="preserve"> - 222.222.8.</t>
    </r>
    <r>
      <rPr>
        <b/>
        <sz val="11"/>
        <color theme="1"/>
        <rFont val="Times New Roman"/>
        <family val="1"/>
      </rPr>
      <t>143</t>
    </r>
  </si>
  <si>
    <r>
      <t>222.222.8.</t>
    </r>
    <r>
      <rPr>
        <b/>
        <sz val="11"/>
        <color theme="1"/>
        <rFont val="Times New Roman"/>
        <family val="1"/>
      </rPr>
      <t>0</t>
    </r>
    <r>
      <rPr>
        <sz val="11"/>
        <color theme="1"/>
        <rFont val="Times New Roman"/>
        <family val="1"/>
      </rPr>
      <t xml:space="preserve"> - 222.222.8.</t>
    </r>
    <r>
      <rPr>
        <b/>
        <sz val="11"/>
        <color theme="1"/>
        <rFont val="Times New Roman"/>
        <family val="1"/>
      </rPr>
      <t>143</t>
    </r>
  </si>
  <si>
    <r>
      <t>111.111.24.</t>
    </r>
    <r>
      <rPr>
        <b/>
        <sz val="11"/>
        <color theme="1"/>
        <rFont val="Times New Roman"/>
        <family val="1"/>
      </rPr>
      <t>0</t>
    </r>
    <r>
      <rPr>
        <sz val="11"/>
        <color theme="1"/>
        <rFont val="Times New Roman"/>
        <family val="1"/>
      </rPr>
      <t xml:space="preserve"> - 111.111.24.</t>
    </r>
    <r>
      <rPr>
        <b/>
        <sz val="11"/>
        <color theme="1"/>
        <rFont val="Times New Roman"/>
        <family val="1"/>
      </rPr>
      <t>43</t>
    </r>
  </si>
  <si>
    <r>
      <t>10.10.1.</t>
    </r>
    <r>
      <rPr>
        <b/>
        <sz val="11"/>
        <color theme="1"/>
        <rFont val="Times New Roman"/>
        <family val="1"/>
      </rPr>
      <t>32</t>
    </r>
    <r>
      <rPr>
        <sz val="11"/>
        <color theme="1"/>
        <rFont val="Times New Roman"/>
        <family val="1"/>
      </rPr>
      <t xml:space="preserve"> - 10.10.1.</t>
    </r>
    <r>
      <rPr>
        <b/>
        <sz val="11"/>
        <color theme="1"/>
        <rFont val="Times New Roman"/>
        <family val="1"/>
      </rPr>
      <t>47</t>
    </r>
  </si>
  <si>
    <t>256 (nuo .8.0 iki .4.255)
+ 256 (nuo .9.0 iki .5.255)
= 512 adresų</t>
  </si>
  <si>
    <t>reikia 512 adresų, tai reiškia — du tokie iš eilės:</t>
  </si>
  <si>
    <r>
      <t>222.222.</t>
    </r>
    <r>
      <rPr>
        <b/>
        <sz val="11"/>
        <color theme="1"/>
        <rFont val="Times New Roman"/>
        <family val="1"/>
      </rPr>
      <t>8</t>
    </r>
    <r>
      <rPr>
        <sz val="11"/>
        <color theme="1"/>
        <rFont val="Times New Roman"/>
        <family val="1"/>
      </rPr>
      <t>.</t>
    </r>
    <r>
      <rPr>
        <b/>
        <sz val="11"/>
        <color theme="1"/>
        <rFont val="Times New Roman"/>
        <family val="1"/>
      </rPr>
      <t xml:space="preserve">144 </t>
    </r>
    <r>
      <rPr>
        <sz val="11"/>
        <color theme="1"/>
        <rFont val="Times New Roman"/>
        <family val="1"/>
      </rPr>
      <t>- 222.222.</t>
    </r>
    <r>
      <rPr>
        <b/>
        <sz val="11"/>
        <color theme="1"/>
        <rFont val="Times New Roman"/>
        <family val="1"/>
      </rPr>
      <t>9</t>
    </r>
    <r>
      <rPr>
        <sz val="11"/>
        <color theme="1"/>
        <rFont val="Times New Roman"/>
        <family val="1"/>
      </rPr>
      <t>.</t>
    </r>
    <r>
      <rPr>
        <b/>
        <sz val="11"/>
        <color theme="1"/>
        <rFont val="Times New Roman"/>
        <family val="1"/>
      </rPr>
      <t>255</t>
    </r>
  </si>
  <si>
    <r>
      <t>10.10.1.</t>
    </r>
    <r>
      <rPr>
        <b/>
        <sz val="11"/>
        <color theme="1"/>
        <rFont val="Times New Roman"/>
        <family val="1"/>
      </rPr>
      <t>48</t>
    </r>
    <r>
      <rPr>
        <sz val="11"/>
        <color theme="1"/>
        <rFont val="Times New Roman"/>
        <family val="1"/>
      </rPr>
      <t xml:space="preserve"> - 10.10.1.</t>
    </r>
    <r>
      <rPr>
        <b/>
        <sz val="11"/>
        <color theme="1"/>
        <rFont val="Times New Roman"/>
        <family val="1"/>
      </rPr>
      <t>63</t>
    </r>
  </si>
  <si>
    <r>
      <t>111.111.24.</t>
    </r>
    <r>
      <rPr>
        <b/>
        <sz val="11"/>
        <color theme="1"/>
        <rFont val="Times New Roman"/>
        <family val="1"/>
      </rPr>
      <t>44</t>
    </r>
    <r>
      <rPr>
        <sz val="11"/>
        <color theme="1"/>
        <rFont val="Times New Roman"/>
        <family val="1"/>
      </rPr>
      <t xml:space="preserve"> - 111.111.24.</t>
    </r>
    <r>
      <rPr>
        <b/>
        <sz val="11"/>
        <color theme="1"/>
        <rFont val="Times New Roman"/>
        <family val="1"/>
      </rPr>
      <t>127</t>
    </r>
  </si>
  <si>
    <r>
      <t>111.111.24.</t>
    </r>
    <r>
      <rPr>
        <b/>
        <sz val="11"/>
        <color theme="1"/>
        <rFont val="Times New Roman"/>
        <family val="1"/>
      </rPr>
      <t>1</t>
    </r>
    <r>
      <rPr>
        <sz val="11"/>
        <color theme="1"/>
        <rFont val="Times New Roman"/>
        <family val="1"/>
      </rPr>
      <t xml:space="preserve"> - 111.111.24.</t>
    </r>
    <r>
      <rPr>
        <b/>
        <sz val="11"/>
        <color theme="1"/>
        <rFont val="Times New Roman"/>
        <family val="1"/>
      </rPr>
      <t>7</t>
    </r>
  </si>
  <si>
    <r>
      <t>111.111.24.</t>
    </r>
    <r>
      <rPr>
        <b/>
        <sz val="11"/>
        <color theme="1"/>
        <rFont val="Times New Roman"/>
        <family val="1"/>
      </rPr>
      <t>17</t>
    </r>
    <r>
      <rPr>
        <sz val="11"/>
        <color theme="1"/>
        <rFont val="Times New Roman"/>
        <family val="1"/>
      </rPr>
      <t xml:space="preserve"> - 111.111.24.</t>
    </r>
    <r>
      <rPr>
        <b/>
        <sz val="11"/>
        <color theme="1"/>
        <rFont val="Times New Roman"/>
        <family val="1"/>
      </rPr>
      <t>26</t>
    </r>
  </si>
  <si>
    <r>
      <t>111.111.24.</t>
    </r>
    <r>
      <rPr>
        <b/>
        <sz val="11"/>
        <color theme="1"/>
        <rFont val="Times New Roman"/>
        <family val="1"/>
      </rPr>
      <t>33</t>
    </r>
    <r>
      <rPr>
        <sz val="11"/>
        <color theme="1"/>
        <rFont val="Times New Roman"/>
        <family val="1"/>
      </rPr>
      <t xml:space="preserve"> - 111.111.24.</t>
    </r>
    <r>
      <rPr>
        <b/>
        <sz val="11"/>
        <color theme="1"/>
        <rFont val="Times New Roman"/>
        <family val="1"/>
      </rPr>
      <t>35</t>
    </r>
  </si>
  <si>
    <r>
      <t>222.222.8.</t>
    </r>
    <r>
      <rPr>
        <b/>
        <sz val="11"/>
        <color theme="1"/>
        <rFont val="Times New Roman"/>
        <family val="1"/>
      </rPr>
      <t>1</t>
    </r>
    <r>
      <rPr>
        <sz val="11"/>
        <color theme="1"/>
        <rFont val="Times New Roman"/>
        <family val="1"/>
      </rPr>
      <t xml:space="preserve"> - 222.222.8.</t>
    </r>
    <r>
      <rPr>
        <b/>
        <sz val="11"/>
        <color theme="1"/>
        <rFont val="Times New Roman"/>
        <family val="1"/>
      </rPr>
      <t>17</t>
    </r>
  </si>
  <si>
    <r>
      <t>222.222.8.</t>
    </r>
    <r>
      <rPr>
        <b/>
        <sz val="11"/>
        <color theme="1"/>
        <rFont val="Times New Roman"/>
        <family val="1"/>
      </rPr>
      <t>33</t>
    </r>
    <r>
      <rPr>
        <sz val="11"/>
        <color theme="1"/>
        <rFont val="Times New Roman"/>
        <family val="1"/>
      </rPr>
      <t xml:space="preserve"> - 222.222.8.</t>
    </r>
    <r>
      <rPr>
        <b/>
        <sz val="11"/>
        <color theme="1"/>
        <rFont val="Times New Roman"/>
        <family val="1"/>
      </rPr>
      <t>54</t>
    </r>
  </si>
  <si>
    <r>
      <t>222.222.8.</t>
    </r>
    <r>
      <rPr>
        <b/>
        <sz val="11"/>
        <color theme="1"/>
        <rFont val="Times New Roman"/>
        <family val="1"/>
      </rPr>
      <t>65</t>
    </r>
    <r>
      <rPr>
        <sz val="11"/>
        <color theme="1"/>
        <rFont val="Times New Roman"/>
        <family val="1"/>
      </rPr>
      <t xml:space="preserve"> - 222.222.8.</t>
    </r>
    <r>
      <rPr>
        <b/>
        <sz val="11"/>
        <color theme="1"/>
        <rFont val="Times New Roman"/>
        <family val="1"/>
      </rPr>
      <t>79</t>
    </r>
  </si>
  <si>
    <r>
      <t>222.222.8.</t>
    </r>
    <r>
      <rPr>
        <b/>
        <sz val="11"/>
        <color theme="1"/>
        <rFont val="Times New Roman"/>
        <family val="1"/>
      </rPr>
      <t>97</t>
    </r>
    <r>
      <rPr>
        <sz val="11"/>
        <color theme="1"/>
        <rFont val="Times New Roman"/>
        <family val="1"/>
      </rPr>
      <t xml:space="preserve"> - 222.222.8</t>
    </r>
    <r>
      <rPr>
        <b/>
        <sz val="11"/>
        <color theme="1"/>
        <rFont val="Times New Roman"/>
        <family val="1"/>
      </rPr>
      <t>.114</t>
    </r>
  </si>
  <si>
    <r>
      <t>222.222.8.</t>
    </r>
    <r>
      <rPr>
        <b/>
        <sz val="11"/>
        <color theme="1"/>
        <rFont val="Times New Roman"/>
        <family val="1"/>
      </rPr>
      <t>129</t>
    </r>
    <r>
      <rPr>
        <sz val="11"/>
        <color theme="1"/>
        <rFont val="Times New Roman"/>
        <family val="1"/>
      </rPr>
      <t xml:space="preserve"> - 222.222.8.</t>
    </r>
    <r>
      <rPr>
        <b/>
        <sz val="11"/>
        <color theme="1"/>
        <rFont val="Times New Roman"/>
        <family val="1"/>
      </rPr>
      <t>139</t>
    </r>
  </si>
  <si>
    <t>111.111.24.8</t>
  </si>
  <si>
    <t>111.111.24.27</t>
  </si>
  <si>
    <t>111.111.24.36</t>
  </si>
  <si>
    <t>111.111.24.41</t>
  </si>
  <si>
    <t>111.111.24.14</t>
  </si>
  <si>
    <t>111.111.24.30</t>
  </si>
  <si>
    <t>111.111.24.38</t>
  </si>
  <si>
    <t>111.111.24.42</t>
  </si>
  <si>
    <t>222.222.8.30</t>
  </si>
  <si>
    <t>222.222.8.62</t>
  </si>
  <si>
    <t>222.222.8.94</t>
  </si>
  <si>
    <t>222.222.8.126</t>
  </si>
  <si>
    <t>222.222.8.142</t>
  </si>
  <si>
    <t>Rukm-Rpab</t>
  </si>
  <si>
    <t>rukm .33   rsiek .34</t>
  </si>
  <si>
    <t>rukm .37   rvep .38</t>
  </si>
  <si>
    <t>rukm .45   rvid .46</t>
  </si>
  <si>
    <t>Rukm</t>
  </si>
  <si>
    <t xml:space="preserve">Rsiek </t>
  </si>
  <si>
    <t>Rpab</t>
  </si>
  <si>
    <t>Rvid</t>
  </si>
  <si>
    <t xml:space="preserve">111.111.24.0 </t>
  </si>
  <si>
    <t xml:space="preserve">111.111.24.16 </t>
  </si>
  <si>
    <t xml:space="preserve">111.111.24.32 </t>
  </si>
  <si>
    <t>111.111.24.40</t>
  </si>
  <si>
    <t xml:space="preserve">222.222.8.0 </t>
  </si>
  <si>
    <t xml:space="preserve">222.222.8.32 </t>
  </si>
  <si>
    <t xml:space="preserve">222.222.8.64 </t>
  </si>
  <si>
    <t xml:space="preserve">222.222.8.96 </t>
  </si>
  <si>
    <t xml:space="preserve">222.222.8.128 </t>
  </si>
  <si>
    <t>Rvep</t>
  </si>
  <si>
    <t>Rsiesk</t>
  </si>
  <si>
    <t>10.10.1.42</t>
  </si>
  <si>
    <t>rukm  .41   rpab .42</t>
  </si>
  <si>
    <t>10.10.1.45</t>
  </si>
  <si>
    <t>10.10.1.46</t>
  </si>
  <si>
    <t>10.10.1.38</t>
  </si>
  <si>
    <t>10.10.1.34</t>
  </si>
  <si>
    <t>10.10.1.33</t>
  </si>
  <si>
    <t>10.10.1.41</t>
  </si>
  <si>
    <t>10.10.1.37</t>
  </si>
  <si>
    <t>out fa7/0</t>
  </si>
  <si>
    <t>deny tcp any host 111.111.24.41 eq 80</t>
  </si>
  <si>
    <t>deny tcp any host 111.111.24.41 eq 443</t>
  </si>
  <si>
    <t>permit tcp 111.111.24.0 0.0.0.127 host 111.111.24.41 eq 80</t>
  </si>
  <si>
    <t>permit tcp 111.111.24.0 0.0.0.127 host 111.111.24.41 eq 443</t>
  </si>
  <si>
    <t>in fa 7/0</t>
  </si>
  <si>
    <t>permit icmp any host 111.111.24.41</t>
  </si>
  <si>
    <t>deny ip any any</t>
  </si>
  <si>
    <t xml:space="preserve">permit icmp host 111.111.24.41 any </t>
  </si>
  <si>
    <t>KT projektas
Kompiuterių tinklo projektavimas ir modeliavimas</t>
  </si>
  <si>
    <t>Gintarė Jasiukevičiūtė                                                                                                             IFB-3</t>
  </si>
  <si>
    <t>Papildoma lentelė maršrutizatorių adresams</t>
  </si>
  <si>
    <t>Rukm .33</t>
  </si>
  <si>
    <t>Rukm .37</t>
  </si>
  <si>
    <t>Rukm  .41</t>
  </si>
  <si>
    <t>Rukm .45</t>
  </si>
  <si>
    <t>Rsiek .34</t>
  </si>
  <si>
    <t>Rvep .38</t>
  </si>
  <si>
    <t>Rpab .42</t>
  </si>
  <si>
    <t>Rvid .46</t>
  </si>
  <si>
    <t>Išvados</t>
  </si>
  <si>
    <t>Kursinis darbas buvo sėkmingai įgyvendintas - visos užduotys atliktos pilnai ir pagal pateiktus reikalavimus</t>
  </si>
  <si>
    <t>IP adresai paskirstyti be „skylių“, apskaičiuoti potinklių dydžiai, tinklo kaukės, adresų segmentai, įrenginiams teisingai paskirti adresai ir numatyti gateway adresai. 
                                                                                                                                                                                                           Apskaičiuotas kiekvieno potinklio panaudotų ir likusių laisvų IP adresų skaičius.
Serveriams pakeisti index.html failai pagal užduoties reikalavimus, į rajono serverį įkeltas užduoties paveiksliukas.
Sukurtas ir sukonfigūruotas VLAN tinklas.
Sudarytos ir priskirtos maršrutų lentelės kiekvienam maršrutizatoriui. Patikrinta, jog visi kompiuteriai ir serveriai gali pasiekti vieni kitus.
Sukurtos ir pritaikytos ACL (Access Control List) taisyklės pagrindiniam rajono štabo serveriui:
1. Serveris pasiekiamas per WEB tik iš administracinių kompiuterių;
2. Visi kompiuteriai gali ping’inti serverį;
3. Pats serveris gali  tiktai ping’inti kitus tinklo įrenginius.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</si>
</sst>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86"/>
      <scheme val="minor"/>
    </font>
    <font>
      <sz val="11"/>
      <color theme="1"/>
      <name val="Aptos Narrow"/>
      <family val="2"/>
      <scheme val="minor"/>
    </font>
    <font>
      <b/>
      <sz val="11"/>
      <color theme="1"/>
      <name val="Aptos Narrow"/>
      <family val="2"/>
      <scheme val="minor"/>
    </font>
    <font>
      <b/>
      <sz val="11"/>
      <color theme="1"/>
      <name val="Times New Roman"/>
      <family val="1"/>
    </font>
    <font>
      <sz val="11"/>
      <color theme="1"/>
      <name val="Times New Roman"/>
      <family val="1"/>
    </font>
    <font>
      <sz val="8"/>
      <name val="Aptos Narrow"/>
      <family val="2"/>
      <charset val="186"/>
      <scheme val="minor"/>
    </font>
    <font>
      <b/>
      <u/>
      <sz val="11"/>
      <color theme="1"/>
      <name val="Aptos Narrow"/>
      <family val="2"/>
      <scheme val="minor"/>
    </font>
    <font>
      <sz val="11"/>
      <color theme="2" tint="-0.249977111117893"/>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89">
    <xf numFmtId="0" fontId="0" fillId="0" borderId="0" xfId="0"/>
    <xf numFmtId="0" fontId="4" fillId="0" borderId="1" xfId="0" applyFont="1" applyBorder="1" applyAlignment="1">
      <alignment horizontal="left"/>
    </xf>
    <xf numFmtId="0" fontId="4" fillId="0" borderId="1" xfId="0" applyFont="1" applyBorder="1"/>
    <xf numFmtId="0" fontId="4" fillId="0" borderId="0" xfId="0" applyFont="1"/>
    <xf numFmtId="0" fontId="4" fillId="0" borderId="0" xfId="0" applyFont="1" applyAlignment="1">
      <alignment horizontal="center"/>
    </xf>
    <xf numFmtId="0" fontId="4" fillId="0" borderId="1" xfId="0" applyFont="1" applyBorder="1" applyAlignment="1">
      <alignment horizontal="left" vertical="top"/>
    </xf>
    <xf numFmtId="0" fontId="4" fillId="0" borderId="0" xfId="0" applyFont="1" applyAlignment="1">
      <alignment horizontal="left" vertical="top"/>
    </xf>
    <xf numFmtId="0" fontId="4" fillId="2" borderId="1" xfId="0" applyFont="1" applyFill="1" applyBorder="1"/>
    <xf numFmtId="0" fontId="4" fillId="2" borderId="1" xfId="0" applyFont="1" applyFill="1" applyBorder="1" applyAlignment="1">
      <alignment horizontal="left"/>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xf>
    <xf numFmtId="0" fontId="3" fillId="0" borderId="1" xfId="0" applyFont="1" applyBorder="1" applyAlignment="1">
      <alignment horizont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center"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0" fillId="0" borderId="1" xfId="0" applyBorder="1"/>
    <xf numFmtId="0" fontId="4" fillId="0" borderId="0" xfId="0" applyFont="1" applyBorder="1"/>
    <xf numFmtId="0" fontId="4" fillId="0" borderId="0" xfId="0" applyFont="1" applyBorder="1" applyAlignment="1">
      <alignment horizontal="left"/>
    </xf>
    <xf numFmtId="0" fontId="4" fillId="0" borderId="0" xfId="0" applyFont="1" applyBorder="1" applyAlignment="1">
      <alignment horizontal="left" vertical="top"/>
    </xf>
    <xf numFmtId="0" fontId="1" fillId="0" borderId="0" xfId="0" applyFont="1" applyAlignment="1">
      <alignment horizontal="lef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4" fillId="0" borderId="1" xfId="0" applyFont="1" applyFill="1" applyBorder="1" applyAlignment="1">
      <alignment horizontal="center" vertical="center"/>
    </xf>
    <xf numFmtId="0" fontId="4" fillId="0" borderId="0" xfId="0" applyFont="1" applyAlignment="1">
      <alignment horizontal="center" wrapText="1"/>
    </xf>
    <xf numFmtId="0" fontId="4" fillId="0" borderId="0" xfId="0" applyFont="1" applyAlignment="1">
      <alignment horizontal="center"/>
    </xf>
    <xf numFmtId="0" fontId="0" fillId="0" borderId="1" xfId="0" applyBorder="1" applyAlignment="1">
      <alignment horizontal="left"/>
    </xf>
    <xf numFmtId="0" fontId="7" fillId="0" borderId="0" xfId="0" applyFont="1"/>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4" xfId="0" applyBorder="1" applyAlignment="1">
      <alignment horizont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xf>
    <xf numFmtId="0" fontId="0" fillId="0" borderId="0" xfId="0" applyBorder="1" applyAlignment="1">
      <alignment vertical="center" wrapText="1"/>
    </xf>
    <xf numFmtId="0" fontId="0" fillId="0" borderId="0" xfId="0" applyBorder="1"/>
    <xf numFmtId="0" fontId="0" fillId="0" borderId="0" xfId="0" applyBorder="1" applyAlignment="1"/>
    <xf numFmtId="0" fontId="3" fillId="0" borderId="0" xfId="0" applyFont="1" applyBorder="1" applyAlignment="1"/>
    <xf numFmtId="0" fontId="3" fillId="0" borderId="0" xfId="0" applyFont="1" applyBorder="1" applyAlignment="1">
      <alignment horizontal="center" vertic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4" fillId="0" borderId="9" xfId="0" applyFont="1" applyBorder="1" applyAlignment="1">
      <alignment horizontal="left"/>
    </xf>
    <xf numFmtId="0" fontId="4" fillId="0" borderId="10" xfId="0" applyFont="1" applyBorder="1"/>
    <xf numFmtId="0" fontId="4" fillId="0" borderId="11"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6"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7" xfId="0" applyFont="1" applyBorder="1" applyAlignment="1">
      <alignment horizontal="center" vertical="center" wrapText="1"/>
    </xf>
    <xf numFmtId="0" fontId="4" fillId="2" borderId="1" xfId="0" applyFont="1" applyFill="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center" vertical="top"/>
    </xf>
    <xf numFmtId="0" fontId="2" fillId="0" borderId="0" xfId="0" applyFont="1" applyAlignment="1">
      <alignment horizontal="center"/>
    </xf>
    <xf numFmtId="0" fontId="2" fillId="0" borderId="0" xfId="0" applyFont="1"/>
    <xf numFmtId="0" fontId="8" fillId="0" borderId="1" xfId="0" applyFont="1" applyBorder="1" applyAlignment="1">
      <alignment horizontal="center" vertical="center"/>
    </xf>
    <xf numFmtId="0" fontId="0" fillId="0" borderId="3" xfId="0" applyBorder="1" applyAlignment="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2"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596898</xdr:colOff>
      <xdr:row>8</xdr:row>
      <xdr:rowOff>171448</xdr:rowOff>
    </xdr:from>
    <xdr:to>
      <xdr:col>10</xdr:col>
      <xdr:colOff>61931</xdr:colOff>
      <xdr:row>29</xdr:row>
      <xdr:rowOff>177801</xdr:rowOff>
    </xdr:to>
    <xdr:pic>
      <xdr:nvPicPr>
        <xdr:cNvPr id="2" name="Picture 1">
          <a:extLst>
            <a:ext uri="{FF2B5EF4-FFF2-40B4-BE49-F238E27FC236}">
              <a16:creationId xmlns:a16="http://schemas.microsoft.com/office/drawing/2014/main" id="{CF61384D-6581-4940-BA2F-088F14ABBC0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401" t="17324" r="2928" b="13206"/>
        <a:stretch>
          <a:fillRect/>
        </a:stretch>
      </xdr:blipFill>
      <xdr:spPr>
        <a:xfrm>
          <a:off x="596898" y="1670048"/>
          <a:ext cx="6805633" cy="3873502"/>
        </a:xfrm>
        <a:prstGeom prst="rect">
          <a:avLst/>
        </a:prstGeom>
      </xdr:spPr>
    </xdr:pic>
    <xdr:clientData/>
  </xdr:twoCellAnchor>
  <xdr:twoCellAnchor editAs="oneCell">
    <xdr:from>
      <xdr:col>11</xdr:col>
      <xdr:colOff>38099</xdr:colOff>
      <xdr:row>17</xdr:row>
      <xdr:rowOff>107950</xdr:rowOff>
    </xdr:from>
    <xdr:to>
      <xdr:col>17</xdr:col>
      <xdr:colOff>1957750</xdr:colOff>
      <xdr:row>30</xdr:row>
      <xdr:rowOff>50801</xdr:rowOff>
    </xdr:to>
    <xdr:pic>
      <xdr:nvPicPr>
        <xdr:cNvPr id="3" name="Picture 2">
          <a:extLst>
            <a:ext uri="{FF2B5EF4-FFF2-40B4-BE49-F238E27FC236}">
              <a16:creationId xmlns:a16="http://schemas.microsoft.com/office/drawing/2014/main" id="{56F8C4A2-6023-BF8D-1192-4E9C45E2E15D}"/>
            </a:ext>
          </a:extLst>
        </xdr:cNvPr>
        <xdr:cNvPicPr>
          <a:picLocks noChangeAspect="1"/>
        </xdr:cNvPicPr>
      </xdr:nvPicPr>
      <xdr:blipFill rotWithShape="1">
        <a:blip xmlns:r="http://schemas.openxmlformats.org/officeDocument/2006/relationships" r:embed="rId2"/>
        <a:srcRect l="20468" t="29247" r="19788" b="30568"/>
        <a:stretch>
          <a:fillRect/>
        </a:stretch>
      </xdr:blipFill>
      <xdr:spPr>
        <a:xfrm>
          <a:off x="7988299" y="3263900"/>
          <a:ext cx="6955201" cy="2336800"/>
        </a:xfrm>
        <a:prstGeom prst="rect">
          <a:avLst/>
        </a:prstGeom>
      </xdr:spPr>
    </xdr:pic>
    <xdr:clientData/>
  </xdr:twoCellAnchor>
  <xdr:twoCellAnchor editAs="oneCell">
    <xdr:from>
      <xdr:col>26</xdr:col>
      <xdr:colOff>605117</xdr:colOff>
      <xdr:row>22</xdr:row>
      <xdr:rowOff>179293</xdr:rowOff>
    </xdr:from>
    <xdr:to>
      <xdr:col>30</xdr:col>
      <xdr:colOff>642496</xdr:colOff>
      <xdr:row>38</xdr:row>
      <xdr:rowOff>179292</xdr:rowOff>
    </xdr:to>
    <xdr:pic>
      <xdr:nvPicPr>
        <xdr:cNvPr id="4" name="Picture 3">
          <a:extLst>
            <a:ext uri="{FF2B5EF4-FFF2-40B4-BE49-F238E27FC236}">
              <a16:creationId xmlns:a16="http://schemas.microsoft.com/office/drawing/2014/main" id="{151F45E6-7706-41BF-AEF2-B61E95F206C3}"/>
            </a:ext>
          </a:extLst>
        </xdr:cNvPr>
        <xdr:cNvPicPr>
          <a:picLocks noChangeAspect="1"/>
        </xdr:cNvPicPr>
      </xdr:nvPicPr>
      <xdr:blipFill rotWithShape="1">
        <a:blip xmlns:r="http://schemas.openxmlformats.org/officeDocument/2006/relationships" r:embed="rId3"/>
        <a:srcRect l="20266" t="30658" r="38880" b="30355"/>
        <a:stretch>
          <a:fillRect/>
        </a:stretch>
      </xdr:blipFill>
      <xdr:spPr>
        <a:xfrm>
          <a:off x="24832235" y="4317999"/>
          <a:ext cx="6327614" cy="29882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292100</xdr:colOff>
      <xdr:row>6</xdr:row>
      <xdr:rowOff>88899</xdr:rowOff>
    </xdr:from>
    <xdr:to>
      <xdr:col>8</xdr:col>
      <xdr:colOff>824230</xdr:colOff>
      <xdr:row>29</xdr:row>
      <xdr:rowOff>1011</xdr:rowOff>
    </xdr:to>
    <xdr:pic>
      <xdr:nvPicPr>
        <xdr:cNvPr id="3" name="Picture 2">
          <a:extLst>
            <a:ext uri="{FF2B5EF4-FFF2-40B4-BE49-F238E27FC236}">
              <a16:creationId xmlns:a16="http://schemas.microsoft.com/office/drawing/2014/main" id="{602D7D28-C9D3-F898-EAE3-A182BB0881C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401" t="12342" r="2928" b="9494"/>
        <a:stretch>
          <a:fillRect/>
        </a:stretch>
      </xdr:blipFill>
      <xdr:spPr>
        <a:xfrm>
          <a:off x="292100" y="1365249"/>
          <a:ext cx="6419850" cy="4145629"/>
        </a:xfrm>
        <a:prstGeom prst="rect">
          <a:avLst/>
        </a:prstGeom>
      </xdr:spPr>
    </xdr:pic>
    <xdr:clientData/>
  </xdr:twoCellAnchor>
  <xdr:twoCellAnchor>
    <xdr:from>
      <xdr:col>3</xdr:col>
      <xdr:colOff>146050</xdr:colOff>
      <xdr:row>26</xdr:row>
      <xdr:rowOff>158750</xdr:rowOff>
    </xdr:from>
    <xdr:to>
      <xdr:col>4</xdr:col>
      <xdr:colOff>228600</xdr:colOff>
      <xdr:row>28</xdr:row>
      <xdr:rowOff>50800</xdr:rowOff>
    </xdr:to>
    <xdr:sp macro="" textlink="">
      <xdr:nvSpPr>
        <xdr:cNvPr id="4" name="TextBox 3">
          <a:extLst>
            <a:ext uri="{FF2B5EF4-FFF2-40B4-BE49-F238E27FC236}">
              <a16:creationId xmlns:a16="http://schemas.microsoft.com/office/drawing/2014/main" id="{E566B86D-9074-4725-EBC4-A5D94C408216}"/>
            </a:ext>
          </a:extLst>
        </xdr:cNvPr>
        <xdr:cNvSpPr txBox="1"/>
      </xdr:nvSpPr>
      <xdr:spPr>
        <a:xfrm>
          <a:off x="1974850" y="5118100"/>
          <a:ext cx="692150" cy="26035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(11v+3a)</a:t>
          </a:r>
          <a:endParaRPr lang="en-150" sz="1100"/>
        </a:p>
      </xdr:txBody>
    </xdr:sp>
    <xdr:clientData/>
  </xdr:twoCellAnchor>
  <xdr:twoCellAnchor>
    <xdr:from>
      <xdr:col>7</xdr:col>
      <xdr:colOff>425450</xdr:colOff>
      <xdr:row>12</xdr:row>
      <xdr:rowOff>31750</xdr:rowOff>
    </xdr:from>
    <xdr:to>
      <xdr:col>7</xdr:col>
      <xdr:colOff>946150</xdr:colOff>
      <xdr:row>13</xdr:row>
      <xdr:rowOff>127000</xdr:rowOff>
    </xdr:to>
    <xdr:sp macro="" textlink="">
      <xdr:nvSpPr>
        <xdr:cNvPr id="6" name="TextBox 5">
          <a:extLst>
            <a:ext uri="{FF2B5EF4-FFF2-40B4-BE49-F238E27FC236}">
              <a16:creationId xmlns:a16="http://schemas.microsoft.com/office/drawing/2014/main" id="{B967D7EE-BA2F-40EF-A09C-3AD792D091E8}"/>
            </a:ext>
          </a:extLst>
        </xdr:cNvPr>
        <xdr:cNvSpPr txBox="1"/>
      </xdr:nvSpPr>
      <xdr:spPr>
        <a:xfrm>
          <a:off x="5130800" y="2413000"/>
          <a:ext cx="520700" cy="27940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22v</a:t>
          </a:r>
          <a:endParaRPr lang="en-150" sz="1100"/>
        </a:p>
      </xdr:txBody>
    </xdr:sp>
    <xdr:clientData/>
  </xdr:twoCellAnchor>
  <xdr:twoCellAnchor>
    <xdr:from>
      <xdr:col>6</xdr:col>
      <xdr:colOff>254000</xdr:colOff>
      <xdr:row>25</xdr:row>
      <xdr:rowOff>19050</xdr:rowOff>
    </xdr:from>
    <xdr:to>
      <xdr:col>6</xdr:col>
      <xdr:colOff>1016000</xdr:colOff>
      <xdr:row>26</xdr:row>
      <xdr:rowOff>114300</xdr:rowOff>
    </xdr:to>
    <xdr:sp macro="" textlink="">
      <xdr:nvSpPr>
        <xdr:cNvPr id="7" name="TextBox 6">
          <a:extLst>
            <a:ext uri="{FF2B5EF4-FFF2-40B4-BE49-F238E27FC236}">
              <a16:creationId xmlns:a16="http://schemas.microsoft.com/office/drawing/2014/main" id="{4CE1F8B8-2B76-4F52-8417-3AD7FB8E1E98}"/>
            </a:ext>
          </a:extLst>
        </xdr:cNvPr>
        <xdr:cNvSpPr txBox="1"/>
      </xdr:nvSpPr>
      <xdr:spPr>
        <a:xfrm>
          <a:off x="3911600" y="4794250"/>
          <a:ext cx="762000" cy="27940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15v+7a</a:t>
          </a:r>
          <a:endParaRPr lang="en-150" sz="1100"/>
        </a:p>
      </xdr:txBody>
    </xdr:sp>
    <xdr:clientData/>
  </xdr:twoCellAnchor>
  <xdr:twoCellAnchor>
    <xdr:from>
      <xdr:col>6</xdr:col>
      <xdr:colOff>228600</xdr:colOff>
      <xdr:row>9</xdr:row>
      <xdr:rowOff>165100</xdr:rowOff>
    </xdr:from>
    <xdr:to>
      <xdr:col>6</xdr:col>
      <xdr:colOff>927100</xdr:colOff>
      <xdr:row>11</xdr:row>
      <xdr:rowOff>76200</xdr:rowOff>
    </xdr:to>
    <xdr:sp macro="" textlink="">
      <xdr:nvSpPr>
        <xdr:cNvPr id="8" name="TextBox 7">
          <a:extLst>
            <a:ext uri="{FF2B5EF4-FFF2-40B4-BE49-F238E27FC236}">
              <a16:creationId xmlns:a16="http://schemas.microsoft.com/office/drawing/2014/main" id="{B54D3312-99F7-4B46-AB5C-EB78F99DA20E}"/>
            </a:ext>
          </a:extLst>
        </xdr:cNvPr>
        <xdr:cNvSpPr txBox="1"/>
      </xdr:nvSpPr>
      <xdr:spPr>
        <a:xfrm>
          <a:off x="3886200" y="1993900"/>
          <a:ext cx="698500" cy="27940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18v+10a</a:t>
          </a:r>
          <a:endParaRPr lang="en-150" sz="1100"/>
        </a:p>
      </xdr:txBody>
    </xdr:sp>
    <xdr:clientData/>
  </xdr:twoCellAnchor>
  <xdr:twoCellAnchor>
    <xdr:from>
      <xdr:col>1</xdr:col>
      <xdr:colOff>482600</xdr:colOff>
      <xdr:row>13</xdr:row>
      <xdr:rowOff>146050</xdr:rowOff>
    </xdr:from>
    <xdr:to>
      <xdr:col>2</xdr:col>
      <xdr:colOff>457200</xdr:colOff>
      <xdr:row>15</xdr:row>
      <xdr:rowOff>57150</xdr:rowOff>
    </xdr:to>
    <xdr:sp macro="" textlink="">
      <xdr:nvSpPr>
        <xdr:cNvPr id="9" name="TextBox 8">
          <a:extLst>
            <a:ext uri="{FF2B5EF4-FFF2-40B4-BE49-F238E27FC236}">
              <a16:creationId xmlns:a16="http://schemas.microsoft.com/office/drawing/2014/main" id="{E1FE87BA-DA4F-46AE-A9A5-D72406557406}"/>
            </a:ext>
          </a:extLst>
        </xdr:cNvPr>
        <xdr:cNvSpPr txBox="1"/>
      </xdr:nvSpPr>
      <xdr:spPr>
        <a:xfrm>
          <a:off x="1092200" y="2711450"/>
          <a:ext cx="584200" cy="279400"/>
        </a:xfrm>
        <a:prstGeom prst="rect">
          <a:avLst/>
        </a:prstGeom>
        <a:solidFill>
          <a:schemeClr val="accent6">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18v+R</a:t>
          </a:r>
          <a:endParaRPr lang="en-150" sz="1100"/>
        </a:p>
      </xdr:txBody>
    </xdr:sp>
    <xdr:clientData/>
  </xdr:twoCellAnchor>
  <xdr:twoCellAnchor editAs="oneCell">
    <xdr:from>
      <xdr:col>41</xdr:col>
      <xdr:colOff>237564</xdr:colOff>
      <xdr:row>13</xdr:row>
      <xdr:rowOff>36979</xdr:rowOff>
    </xdr:from>
    <xdr:to>
      <xdr:col>46</xdr:col>
      <xdr:colOff>176372</xdr:colOff>
      <xdr:row>26</xdr:row>
      <xdr:rowOff>176754</xdr:rowOff>
    </xdr:to>
    <xdr:pic>
      <xdr:nvPicPr>
        <xdr:cNvPr id="10" name="Picture 9">
          <a:extLst>
            <a:ext uri="{FF2B5EF4-FFF2-40B4-BE49-F238E27FC236}">
              <a16:creationId xmlns:a16="http://schemas.microsoft.com/office/drawing/2014/main" id="{3F20CEB9-72BD-7C42-932F-C9EC8465F3E5}"/>
            </a:ext>
          </a:extLst>
        </xdr:cNvPr>
        <xdr:cNvPicPr>
          <a:picLocks noChangeAspect="1"/>
        </xdr:cNvPicPr>
      </xdr:nvPicPr>
      <xdr:blipFill rotWithShape="1">
        <a:blip xmlns:r="http://schemas.openxmlformats.org/officeDocument/2006/relationships" r:embed="rId2"/>
        <a:srcRect l="20266" t="30658" r="38880" b="30355"/>
        <a:stretch>
          <a:fillRect/>
        </a:stretch>
      </xdr:blipFill>
      <xdr:spPr>
        <a:xfrm>
          <a:off x="43574446" y="2636744"/>
          <a:ext cx="5427001" cy="25575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99A45-2029-4F03-803E-08CEE29709BD}">
  <dimension ref="A1:AW65"/>
  <sheetViews>
    <sheetView tabSelected="1" zoomScale="85" zoomScaleNormal="85" workbookViewId="0">
      <selection activeCell="AS25" sqref="AS25"/>
    </sheetView>
  </sheetViews>
  <sheetFormatPr defaultRowHeight="14.5" x14ac:dyDescent="0.35"/>
  <cols>
    <col min="2" max="2" width="8.1796875" customWidth="1"/>
    <col min="6" max="6" width="8.81640625" customWidth="1"/>
    <col min="7" max="7" width="7.90625" customWidth="1"/>
    <col min="8" max="8" width="17" customWidth="1"/>
    <col min="9" max="9" width="14.81640625" customWidth="1"/>
    <col min="10" max="10" width="13.453125" customWidth="1"/>
    <col min="12" max="12" width="11.90625" customWidth="1"/>
    <col min="13" max="13" width="10.81640625" customWidth="1"/>
    <col min="14" max="14" width="14.1796875" customWidth="1"/>
    <col min="17" max="17" width="17.7265625" customWidth="1"/>
    <col min="18" max="18" width="28.6328125" customWidth="1"/>
    <col min="20" max="20" width="24.36328125" customWidth="1"/>
    <col min="21" max="21" width="17.54296875" customWidth="1"/>
    <col min="22" max="22" width="26.81640625" customWidth="1"/>
    <col min="23" max="23" width="28" customWidth="1"/>
    <col min="27" max="27" width="17.1796875" customWidth="1"/>
    <col min="28" max="28" width="29.6328125" customWidth="1"/>
    <col min="29" max="29" width="28.453125" customWidth="1"/>
    <col min="30" max="30" width="14.7265625" customWidth="1"/>
    <col min="31" max="31" width="15.36328125" customWidth="1"/>
    <col min="35" max="35" width="17.26953125" style="25" customWidth="1"/>
    <col min="36" max="36" width="16.453125" style="25" customWidth="1"/>
    <col min="37" max="37" width="14.81640625" style="25" customWidth="1"/>
    <col min="38" max="38" width="17.54296875" style="25" customWidth="1"/>
    <col min="43" max="43" width="15.90625" customWidth="1"/>
  </cols>
  <sheetData>
    <row r="1" spans="1:49" ht="14.5" customHeight="1" thickBot="1" x14ac:dyDescent="0.4">
      <c r="A1" s="51"/>
      <c r="B1" s="43" t="s">
        <v>151</v>
      </c>
      <c r="C1" s="55"/>
      <c r="D1" s="55"/>
      <c r="E1" s="55"/>
      <c r="F1" s="44" t="s">
        <v>152</v>
      </c>
      <c r="G1" s="44"/>
      <c r="H1" s="44"/>
      <c r="I1" s="45"/>
    </row>
    <row r="2" spans="1:49" ht="14.5" customHeight="1" x14ac:dyDescent="0.35">
      <c r="A2" s="52"/>
      <c r="B2" s="56"/>
      <c r="C2" s="41"/>
      <c r="D2" s="41"/>
      <c r="E2" s="41"/>
      <c r="F2" s="42"/>
      <c r="G2" s="42"/>
      <c r="H2" s="42"/>
      <c r="I2" s="46"/>
      <c r="L2" s="22" t="s">
        <v>8</v>
      </c>
      <c r="M2" s="23" t="s">
        <v>9</v>
      </c>
      <c r="N2" s="23" t="s">
        <v>10</v>
      </c>
      <c r="O2" s="23" t="s">
        <v>11</v>
      </c>
      <c r="P2" s="26" t="s">
        <v>12</v>
      </c>
      <c r="Q2" s="26" t="s">
        <v>13</v>
      </c>
      <c r="R2" s="23" t="s">
        <v>14</v>
      </c>
      <c r="T2" s="21" t="s">
        <v>24</v>
      </c>
      <c r="U2" s="21"/>
      <c r="V2" s="21"/>
      <c r="W2" s="21"/>
      <c r="Y2" s="14" t="s">
        <v>30</v>
      </c>
      <c r="Z2" s="14"/>
      <c r="AA2" s="14"/>
      <c r="AB2" s="14"/>
      <c r="AC2" s="14"/>
      <c r="AD2" s="14"/>
      <c r="AE2" s="14"/>
      <c r="AH2" s="18" t="s">
        <v>118</v>
      </c>
      <c r="AI2" s="18"/>
      <c r="AJ2" s="4"/>
      <c r="AK2" s="4"/>
      <c r="AL2" s="4"/>
      <c r="AN2" s="78" t="s">
        <v>162</v>
      </c>
      <c r="AO2" s="79"/>
      <c r="AP2" s="79"/>
      <c r="AQ2" s="80"/>
    </row>
    <row r="3" spans="1:49" ht="15" customHeight="1" thickBot="1" x14ac:dyDescent="0.4">
      <c r="A3" s="52"/>
      <c r="B3" s="57"/>
      <c r="C3" s="58"/>
      <c r="D3" s="58"/>
      <c r="E3" s="58"/>
      <c r="F3" s="47"/>
      <c r="G3" s="47"/>
      <c r="H3" s="47"/>
      <c r="I3" s="48"/>
      <c r="L3" s="22"/>
      <c r="M3" s="23"/>
      <c r="N3" s="23"/>
      <c r="O3" s="23"/>
      <c r="P3" s="27"/>
      <c r="Q3" s="27"/>
      <c r="R3" s="23"/>
      <c r="T3" s="3"/>
      <c r="U3" s="3"/>
      <c r="V3" s="3"/>
      <c r="W3" s="3"/>
      <c r="Y3" s="3"/>
      <c r="Z3" s="3"/>
      <c r="AA3" s="3"/>
      <c r="AB3" s="3"/>
      <c r="AC3" s="3"/>
      <c r="AD3" s="3"/>
      <c r="AE3" s="3"/>
      <c r="AH3" s="22" t="s">
        <v>8</v>
      </c>
      <c r="AI3" s="33" t="s">
        <v>35</v>
      </c>
      <c r="AJ3" s="33" t="s">
        <v>13</v>
      </c>
      <c r="AK3" s="33" t="s">
        <v>36</v>
      </c>
      <c r="AL3" s="33" t="s">
        <v>38</v>
      </c>
      <c r="AN3" s="81"/>
      <c r="AO3" s="76"/>
      <c r="AP3" s="76"/>
      <c r="AQ3" s="82"/>
    </row>
    <row r="4" spans="1:49" ht="15" customHeight="1" thickBot="1" x14ac:dyDescent="0.4">
      <c r="L4" s="2" t="s">
        <v>61</v>
      </c>
      <c r="M4" s="1">
        <f>7+1</f>
        <v>8</v>
      </c>
      <c r="N4" s="2" t="s">
        <v>15</v>
      </c>
      <c r="O4" s="1">
        <v>16</v>
      </c>
      <c r="P4" s="2" t="s">
        <v>18</v>
      </c>
      <c r="Q4" s="34" t="s">
        <v>21</v>
      </c>
      <c r="R4" s="72" t="s">
        <v>72</v>
      </c>
      <c r="T4" s="19" t="s">
        <v>25</v>
      </c>
      <c r="U4" s="19" t="s">
        <v>26</v>
      </c>
      <c r="V4" s="19" t="s">
        <v>27</v>
      </c>
      <c r="W4" s="19" t="s">
        <v>28</v>
      </c>
      <c r="Y4" s="22" t="s">
        <v>8</v>
      </c>
      <c r="Z4" s="23" t="s">
        <v>31</v>
      </c>
      <c r="AA4" s="23" t="s">
        <v>13</v>
      </c>
      <c r="AB4" s="22" t="s">
        <v>14</v>
      </c>
      <c r="AC4" s="23" t="s">
        <v>32</v>
      </c>
      <c r="AD4" s="23" t="s">
        <v>33</v>
      </c>
      <c r="AE4" s="23" t="s">
        <v>34</v>
      </c>
      <c r="AH4" s="22"/>
      <c r="AI4" s="33"/>
      <c r="AJ4" s="33"/>
      <c r="AK4" s="33"/>
      <c r="AL4" s="33"/>
      <c r="AN4" s="83" t="s">
        <v>163</v>
      </c>
      <c r="AO4" s="84"/>
      <c r="AP4" s="84"/>
      <c r="AQ4" s="85"/>
      <c r="AW4">
        <v>1</v>
      </c>
    </row>
    <row r="5" spans="1:49" ht="15" thickBot="1" x14ac:dyDescent="0.4">
      <c r="A5" s="53"/>
      <c r="B5" s="62" t="s">
        <v>0</v>
      </c>
      <c r="C5" s="63"/>
      <c r="D5" s="63"/>
      <c r="E5" s="63"/>
      <c r="F5" s="63"/>
      <c r="G5" s="63"/>
      <c r="H5" s="63" t="s">
        <v>2</v>
      </c>
      <c r="I5" s="63"/>
      <c r="J5" s="64"/>
      <c r="L5" s="2" t="s">
        <v>64</v>
      </c>
      <c r="M5" s="1">
        <f>10+1</f>
        <v>11</v>
      </c>
      <c r="N5" s="2" t="s">
        <v>15</v>
      </c>
      <c r="O5" s="1">
        <v>16</v>
      </c>
      <c r="P5" s="2" t="s">
        <v>18</v>
      </c>
      <c r="Q5" s="34" t="s">
        <v>21</v>
      </c>
      <c r="R5" s="72" t="s">
        <v>73</v>
      </c>
      <c r="T5" s="20"/>
      <c r="U5" s="20"/>
      <c r="V5" s="20"/>
      <c r="W5" s="20"/>
      <c r="Y5" s="22"/>
      <c r="Z5" s="23"/>
      <c r="AA5" s="23"/>
      <c r="AB5" s="22"/>
      <c r="AC5" s="23"/>
      <c r="AD5" s="23"/>
      <c r="AE5" s="23"/>
      <c r="AH5" s="2" t="s">
        <v>61</v>
      </c>
      <c r="AI5" s="72" t="s">
        <v>122</v>
      </c>
      <c r="AJ5" s="34" t="s">
        <v>21</v>
      </c>
      <c r="AK5" s="72" t="s">
        <v>120</v>
      </c>
      <c r="AL5" s="73" t="s">
        <v>133</v>
      </c>
      <c r="AN5" s="83"/>
      <c r="AO5" s="84"/>
      <c r="AP5" s="84"/>
      <c r="AQ5" s="85"/>
    </row>
    <row r="6" spans="1:49" x14ac:dyDescent="0.35">
      <c r="A6" s="54"/>
      <c r="B6" s="67" t="s">
        <v>1</v>
      </c>
      <c r="C6" s="17">
        <v>1</v>
      </c>
      <c r="D6" s="17">
        <v>2</v>
      </c>
      <c r="E6" s="17">
        <v>3</v>
      </c>
      <c r="F6" s="17">
        <v>4</v>
      </c>
      <c r="G6" s="17">
        <v>5</v>
      </c>
      <c r="H6" s="16" t="s">
        <v>3</v>
      </c>
      <c r="I6" s="16" t="s">
        <v>4</v>
      </c>
      <c r="J6" s="68" t="s">
        <v>5</v>
      </c>
      <c r="L6" s="2" t="s">
        <v>57</v>
      </c>
      <c r="M6" s="1">
        <f>3+1</f>
        <v>4</v>
      </c>
      <c r="N6" s="2" t="s">
        <v>15</v>
      </c>
      <c r="O6" s="1">
        <v>8</v>
      </c>
      <c r="P6" s="2" t="s">
        <v>19</v>
      </c>
      <c r="Q6" s="34" t="s">
        <v>22</v>
      </c>
      <c r="R6" s="72" t="s">
        <v>74</v>
      </c>
      <c r="T6" s="2" t="s">
        <v>29</v>
      </c>
      <c r="U6" s="36" t="s">
        <v>43</v>
      </c>
      <c r="V6" s="72" t="s">
        <v>85</v>
      </c>
      <c r="W6" s="72" t="s">
        <v>90</v>
      </c>
      <c r="Y6" s="2" t="s">
        <v>61</v>
      </c>
      <c r="Z6" s="8">
        <v>7</v>
      </c>
      <c r="AA6" s="34" t="s">
        <v>21</v>
      </c>
      <c r="AB6" s="72" t="s">
        <v>72</v>
      </c>
      <c r="AC6" s="72" t="s">
        <v>93</v>
      </c>
      <c r="AD6" s="71" t="s">
        <v>101</v>
      </c>
      <c r="AE6" s="71" t="s">
        <v>105</v>
      </c>
      <c r="AH6" s="2" t="s">
        <v>64</v>
      </c>
      <c r="AI6" s="72" t="s">
        <v>123</v>
      </c>
      <c r="AJ6" s="34" t="s">
        <v>21</v>
      </c>
      <c r="AK6" s="72" t="s">
        <v>121</v>
      </c>
      <c r="AL6" s="73" t="s">
        <v>136</v>
      </c>
      <c r="AN6" s="83"/>
      <c r="AO6" s="84"/>
      <c r="AP6" s="84"/>
      <c r="AQ6" s="85"/>
    </row>
    <row r="7" spans="1:49" ht="15" thickBot="1" x14ac:dyDescent="0.4">
      <c r="A7" s="30"/>
      <c r="B7" s="69"/>
      <c r="C7" s="66"/>
      <c r="D7" s="66"/>
      <c r="E7" s="66"/>
      <c r="F7" s="66"/>
      <c r="G7" s="66"/>
      <c r="H7" s="65"/>
      <c r="I7" s="65"/>
      <c r="J7" s="70"/>
      <c r="L7" s="2" t="s">
        <v>46</v>
      </c>
      <c r="M7" s="1">
        <f>1+1</f>
        <v>2</v>
      </c>
      <c r="N7" s="2" t="s">
        <v>15</v>
      </c>
      <c r="O7" s="1">
        <v>4</v>
      </c>
      <c r="P7" s="2" t="s">
        <v>17</v>
      </c>
      <c r="Q7" s="34" t="s">
        <v>69</v>
      </c>
      <c r="R7" s="72" t="s">
        <v>75</v>
      </c>
      <c r="T7" s="2" t="s">
        <v>4</v>
      </c>
      <c r="U7" s="36" t="s">
        <v>44</v>
      </c>
      <c r="V7" s="72" t="s">
        <v>86</v>
      </c>
      <c r="W7" s="72" t="s">
        <v>92</v>
      </c>
      <c r="Y7" s="2" t="s">
        <v>64</v>
      </c>
      <c r="Z7" s="8">
        <v>10</v>
      </c>
      <c r="AA7" s="34" t="s">
        <v>21</v>
      </c>
      <c r="AB7" s="72" t="s">
        <v>73</v>
      </c>
      <c r="AC7" s="72" t="s">
        <v>94</v>
      </c>
      <c r="AD7" s="71" t="s">
        <v>102</v>
      </c>
      <c r="AE7" s="71" t="s">
        <v>106</v>
      </c>
      <c r="AH7" s="2" t="s">
        <v>57</v>
      </c>
      <c r="AI7" s="72" t="s">
        <v>124</v>
      </c>
      <c r="AJ7" s="34" t="s">
        <v>22</v>
      </c>
      <c r="AK7" s="72" t="s">
        <v>131</v>
      </c>
      <c r="AL7" s="73" t="s">
        <v>137</v>
      </c>
      <c r="AN7" s="86"/>
      <c r="AO7" s="87"/>
      <c r="AP7" s="87"/>
      <c r="AQ7" s="88"/>
    </row>
    <row r="8" spans="1:49" ht="15" customHeight="1" thickBot="1" x14ac:dyDescent="0.4">
      <c r="B8" s="59">
        <v>221</v>
      </c>
      <c r="C8" s="60" t="s">
        <v>39</v>
      </c>
      <c r="D8" s="60" t="s">
        <v>40</v>
      </c>
      <c r="E8" s="60" t="s">
        <v>41</v>
      </c>
      <c r="F8" s="60" t="s">
        <v>42</v>
      </c>
      <c r="G8" s="60" t="s">
        <v>6</v>
      </c>
      <c r="H8" s="60" t="s">
        <v>43</v>
      </c>
      <c r="I8" s="60" t="s">
        <v>44</v>
      </c>
      <c r="J8" s="61" t="s">
        <v>45</v>
      </c>
      <c r="L8" s="2" t="s">
        <v>48</v>
      </c>
      <c r="M8" s="1">
        <f>1+1</f>
        <v>2</v>
      </c>
      <c r="N8" s="2" t="s">
        <v>16</v>
      </c>
      <c r="O8" s="1">
        <v>4</v>
      </c>
      <c r="P8" s="2" t="s">
        <v>17</v>
      </c>
      <c r="Q8" s="34" t="s">
        <v>69</v>
      </c>
      <c r="R8" s="72" t="s">
        <v>76</v>
      </c>
      <c r="T8" s="2" t="s">
        <v>5</v>
      </c>
      <c r="U8" s="36" t="s">
        <v>45</v>
      </c>
      <c r="V8" s="72" t="s">
        <v>87</v>
      </c>
      <c r="W8" s="72" t="s">
        <v>91</v>
      </c>
      <c r="Y8" s="2" t="s">
        <v>57</v>
      </c>
      <c r="Z8" s="8">
        <v>3</v>
      </c>
      <c r="AA8" s="34" t="s">
        <v>22</v>
      </c>
      <c r="AB8" s="72" t="s">
        <v>74</v>
      </c>
      <c r="AC8" s="72" t="s">
        <v>95</v>
      </c>
      <c r="AD8" s="71" t="s">
        <v>103</v>
      </c>
      <c r="AE8" s="71" t="s">
        <v>107</v>
      </c>
      <c r="AH8" s="2" t="s">
        <v>46</v>
      </c>
      <c r="AI8" s="72" t="s">
        <v>125</v>
      </c>
      <c r="AJ8" s="34" t="s">
        <v>69</v>
      </c>
      <c r="AK8" s="72" t="s">
        <v>37</v>
      </c>
      <c r="AL8" s="73"/>
      <c r="AN8" s="77" t="s">
        <v>164</v>
      </c>
      <c r="AO8" s="77"/>
      <c r="AP8" s="77"/>
      <c r="AQ8" s="77"/>
    </row>
    <row r="9" spans="1:49" x14ac:dyDescent="0.35">
      <c r="L9" s="2" t="s">
        <v>49</v>
      </c>
      <c r="M9" s="1">
        <f>1+1</f>
        <v>2</v>
      </c>
      <c r="N9" s="2" t="s">
        <v>16</v>
      </c>
      <c r="O9" s="1">
        <v>4</v>
      </c>
      <c r="P9" s="2" t="s">
        <v>17</v>
      </c>
      <c r="Q9" s="34" t="s">
        <v>69</v>
      </c>
      <c r="R9" s="72" t="s">
        <v>77</v>
      </c>
      <c r="Y9" s="2" t="s">
        <v>46</v>
      </c>
      <c r="Z9" s="8">
        <v>0</v>
      </c>
      <c r="AA9" s="34" t="s">
        <v>69</v>
      </c>
      <c r="AB9" s="72" t="s">
        <v>75</v>
      </c>
      <c r="AC9" s="72"/>
      <c r="AD9" s="71" t="s">
        <v>104</v>
      </c>
      <c r="AE9" s="71" t="s">
        <v>108</v>
      </c>
      <c r="AH9" s="2" t="s">
        <v>51</v>
      </c>
      <c r="AI9" s="72" t="s">
        <v>126</v>
      </c>
      <c r="AJ9" s="34" t="s">
        <v>67</v>
      </c>
      <c r="AK9" s="72" t="s">
        <v>132</v>
      </c>
      <c r="AL9" s="73" t="s">
        <v>138</v>
      </c>
      <c r="AN9" s="42"/>
      <c r="AO9" s="42"/>
      <c r="AP9" s="42"/>
      <c r="AQ9" s="42"/>
    </row>
    <row r="10" spans="1:49" x14ac:dyDescent="0.35">
      <c r="L10" s="2" t="s">
        <v>114</v>
      </c>
      <c r="M10" s="1">
        <f>1+1</f>
        <v>2</v>
      </c>
      <c r="N10" s="2" t="s">
        <v>16</v>
      </c>
      <c r="O10" s="1">
        <v>4</v>
      </c>
      <c r="P10" s="2" t="s">
        <v>17</v>
      </c>
      <c r="Q10" s="35" t="s">
        <v>69</v>
      </c>
      <c r="R10" s="72" t="s">
        <v>78</v>
      </c>
      <c r="Y10" s="2" t="s">
        <v>51</v>
      </c>
      <c r="Z10" s="8">
        <v>18</v>
      </c>
      <c r="AA10" s="34" t="s">
        <v>67</v>
      </c>
      <c r="AB10" s="72" t="s">
        <v>80</v>
      </c>
      <c r="AC10" s="72" t="s">
        <v>96</v>
      </c>
      <c r="AD10" s="71"/>
      <c r="AE10" s="71" t="s">
        <v>109</v>
      </c>
      <c r="AH10" s="2" t="s">
        <v>53</v>
      </c>
      <c r="AI10" s="72" t="s">
        <v>127</v>
      </c>
      <c r="AJ10" s="34" t="s">
        <v>23</v>
      </c>
      <c r="AK10" s="72" t="s">
        <v>121</v>
      </c>
      <c r="AL10" s="73" t="s">
        <v>136</v>
      </c>
      <c r="AN10" s="42"/>
      <c r="AO10" s="42"/>
      <c r="AP10" s="42"/>
      <c r="AQ10" s="42"/>
    </row>
    <row r="11" spans="1:49" x14ac:dyDescent="0.35">
      <c r="L11" s="2" t="s">
        <v>50</v>
      </c>
      <c r="M11" s="1">
        <f>1+1</f>
        <v>2</v>
      </c>
      <c r="N11" s="2" t="s">
        <v>16</v>
      </c>
      <c r="O11" s="1">
        <v>4</v>
      </c>
      <c r="P11" s="2" t="s">
        <v>17</v>
      </c>
      <c r="Q11" s="34" t="s">
        <v>69</v>
      </c>
      <c r="R11" s="72" t="s">
        <v>79</v>
      </c>
      <c r="Y11" s="2" t="s">
        <v>53</v>
      </c>
      <c r="Z11" s="8">
        <v>22</v>
      </c>
      <c r="AA11" s="34" t="s">
        <v>23</v>
      </c>
      <c r="AB11" s="72" t="s">
        <v>81</v>
      </c>
      <c r="AC11" s="72" t="s">
        <v>97</v>
      </c>
      <c r="AD11" s="71"/>
      <c r="AE11" s="71" t="s">
        <v>110</v>
      </c>
      <c r="AH11" s="2" t="s">
        <v>59</v>
      </c>
      <c r="AI11" s="72" t="s">
        <v>128</v>
      </c>
      <c r="AJ11" s="34" t="s">
        <v>67</v>
      </c>
      <c r="AK11" s="72" t="s">
        <v>120</v>
      </c>
      <c r="AL11" s="73" t="s">
        <v>133</v>
      </c>
      <c r="AN11" s="42"/>
      <c r="AO11" s="42"/>
      <c r="AP11" s="42"/>
      <c r="AQ11" s="42"/>
    </row>
    <row r="12" spans="1:49" x14ac:dyDescent="0.35">
      <c r="L12" s="2" t="s">
        <v>51</v>
      </c>
      <c r="M12" s="1">
        <f>18+1</f>
        <v>19</v>
      </c>
      <c r="N12" s="2" t="s">
        <v>66</v>
      </c>
      <c r="O12" s="1">
        <v>32</v>
      </c>
      <c r="P12" s="2" t="s">
        <v>20</v>
      </c>
      <c r="Q12" s="34" t="s">
        <v>67</v>
      </c>
      <c r="R12" s="72" t="s">
        <v>80</v>
      </c>
      <c r="Y12" s="2" t="s">
        <v>59</v>
      </c>
      <c r="Z12" s="8">
        <v>15</v>
      </c>
      <c r="AA12" s="34" t="s">
        <v>67</v>
      </c>
      <c r="AB12" s="72" t="s">
        <v>82</v>
      </c>
      <c r="AC12" s="72" t="s">
        <v>98</v>
      </c>
      <c r="AD12" s="71"/>
      <c r="AE12" s="71" t="s">
        <v>111</v>
      </c>
      <c r="AH12" s="2" t="s">
        <v>63</v>
      </c>
      <c r="AI12" s="72" t="s">
        <v>129</v>
      </c>
      <c r="AJ12" s="13" t="s">
        <v>23</v>
      </c>
      <c r="AK12" s="72" t="s">
        <v>121</v>
      </c>
      <c r="AL12" s="73" t="s">
        <v>136</v>
      </c>
      <c r="AN12" s="42"/>
      <c r="AO12" s="42"/>
      <c r="AP12" s="42"/>
      <c r="AQ12" s="42"/>
    </row>
    <row r="13" spans="1:49" x14ac:dyDescent="0.35">
      <c r="L13" s="2" t="s">
        <v>53</v>
      </c>
      <c r="M13" s="1">
        <f>22+1</f>
        <v>23</v>
      </c>
      <c r="N13" s="2" t="s">
        <v>66</v>
      </c>
      <c r="O13" s="1">
        <v>32</v>
      </c>
      <c r="P13" s="2" t="s">
        <v>20</v>
      </c>
      <c r="Q13" s="34" t="s">
        <v>23</v>
      </c>
      <c r="R13" s="72" t="s">
        <v>81</v>
      </c>
      <c r="Y13" s="2" t="s">
        <v>63</v>
      </c>
      <c r="Z13" s="8">
        <v>18</v>
      </c>
      <c r="AA13" s="13" t="s">
        <v>23</v>
      </c>
      <c r="AB13" s="72" t="s">
        <v>83</v>
      </c>
      <c r="AC13" s="72" t="s">
        <v>99</v>
      </c>
      <c r="AD13" s="71"/>
      <c r="AE13" s="71" t="s">
        <v>112</v>
      </c>
      <c r="AH13" s="2" t="s">
        <v>55</v>
      </c>
      <c r="AI13" s="72" t="s">
        <v>130</v>
      </c>
      <c r="AJ13" s="34" t="s">
        <v>21</v>
      </c>
      <c r="AK13" s="49" t="s">
        <v>131</v>
      </c>
      <c r="AL13" s="73" t="s">
        <v>137</v>
      </c>
      <c r="AN13" s="42"/>
      <c r="AO13" s="42"/>
      <c r="AP13" s="42"/>
      <c r="AQ13" s="42"/>
    </row>
    <row r="14" spans="1:49" x14ac:dyDescent="0.35">
      <c r="L14" s="2" t="s">
        <v>59</v>
      </c>
      <c r="M14" s="1">
        <f>15+1</f>
        <v>16</v>
      </c>
      <c r="N14" s="2" t="s">
        <v>66</v>
      </c>
      <c r="O14" s="1">
        <v>32</v>
      </c>
      <c r="P14" s="2" t="s">
        <v>20</v>
      </c>
      <c r="Q14" s="34" t="s">
        <v>67</v>
      </c>
      <c r="R14" s="72" t="s">
        <v>82</v>
      </c>
      <c r="Y14" s="2" t="s">
        <v>55</v>
      </c>
      <c r="Z14" s="39">
        <v>11</v>
      </c>
      <c r="AA14" s="34" t="s">
        <v>21</v>
      </c>
      <c r="AB14" s="72" t="s">
        <v>84</v>
      </c>
      <c r="AC14" s="72" t="s">
        <v>100</v>
      </c>
      <c r="AD14" s="49"/>
      <c r="AE14" s="71" t="s">
        <v>113</v>
      </c>
      <c r="AN14" s="42"/>
      <c r="AO14" s="42"/>
      <c r="AP14" s="42"/>
      <c r="AQ14" s="42"/>
    </row>
    <row r="15" spans="1:49" x14ac:dyDescent="0.35">
      <c r="L15" s="2" t="s">
        <v>63</v>
      </c>
      <c r="M15" s="1">
        <f>18+1</f>
        <v>19</v>
      </c>
      <c r="N15" s="2" t="s">
        <v>66</v>
      </c>
      <c r="O15" s="1">
        <v>32</v>
      </c>
      <c r="P15" s="2" t="s">
        <v>20</v>
      </c>
      <c r="Q15" s="13" t="s">
        <v>23</v>
      </c>
      <c r="R15" s="72" t="s">
        <v>83</v>
      </c>
      <c r="AH15" s="18" t="s">
        <v>119</v>
      </c>
      <c r="AI15" s="18"/>
      <c r="AJ15" s="4"/>
      <c r="AK15" s="4"/>
      <c r="AL15" s="4"/>
      <c r="AN15" s="42"/>
      <c r="AO15" s="42"/>
      <c r="AP15" s="42"/>
      <c r="AQ15" s="42"/>
    </row>
    <row r="16" spans="1:49" x14ac:dyDescent="0.35">
      <c r="L16" s="2" t="s">
        <v>55</v>
      </c>
      <c r="M16" s="1">
        <f>11+1</f>
        <v>12</v>
      </c>
      <c r="N16" s="2" t="s">
        <v>66</v>
      </c>
      <c r="O16" s="1">
        <v>16</v>
      </c>
      <c r="P16" s="2" t="s">
        <v>18</v>
      </c>
      <c r="Q16" s="34" t="s">
        <v>21</v>
      </c>
      <c r="R16" s="72" t="s">
        <v>84</v>
      </c>
      <c r="AA16" s="74" t="s">
        <v>153</v>
      </c>
      <c r="AB16" s="74"/>
      <c r="AC16" s="74"/>
      <c r="AD16" s="74"/>
      <c r="AE16" s="74"/>
      <c r="AH16" s="22" t="s">
        <v>8</v>
      </c>
      <c r="AI16" s="33" t="s">
        <v>35</v>
      </c>
      <c r="AJ16" s="33" t="s">
        <v>13</v>
      </c>
      <c r="AK16" s="33" t="s">
        <v>36</v>
      </c>
      <c r="AL16" s="33" t="s">
        <v>38</v>
      </c>
      <c r="AN16" s="42"/>
      <c r="AO16" s="42"/>
      <c r="AP16" s="42"/>
      <c r="AQ16" s="42"/>
    </row>
    <row r="17" spans="27:43" x14ac:dyDescent="0.35">
      <c r="AA17" s="75"/>
      <c r="AB17" s="75"/>
      <c r="AC17" s="75"/>
      <c r="AD17" s="75"/>
      <c r="AE17" s="75"/>
      <c r="AH17" s="22"/>
      <c r="AI17" s="33"/>
      <c r="AJ17" s="33"/>
      <c r="AK17" s="33"/>
      <c r="AL17" s="33"/>
      <c r="AN17" s="42"/>
      <c r="AO17" s="42"/>
      <c r="AP17" s="42"/>
      <c r="AQ17" s="42"/>
    </row>
    <row r="18" spans="27:43" x14ac:dyDescent="0.35">
      <c r="AA18" s="2" t="s">
        <v>48</v>
      </c>
      <c r="AB18" s="34" t="s">
        <v>69</v>
      </c>
      <c r="AC18" s="2" t="s">
        <v>76</v>
      </c>
      <c r="AD18" s="49" t="s">
        <v>154</v>
      </c>
      <c r="AE18" s="49" t="s">
        <v>158</v>
      </c>
      <c r="AH18" s="2" t="s">
        <v>61</v>
      </c>
      <c r="AI18" s="72" t="s">
        <v>122</v>
      </c>
      <c r="AJ18" s="34" t="s">
        <v>21</v>
      </c>
      <c r="AK18" s="72" t="s">
        <v>118</v>
      </c>
      <c r="AL18" s="72" t="s">
        <v>139</v>
      </c>
      <c r="AN18" s="42"/>
      <c r="AO18" s="42"/>
      <c r="AP18" s="42"/>
      <c r="AQ18" s="42"/>
    </row>
    <row r="19" spans="27:43" x14ac:dyDescent="0.35">
      <c r="AA19" s="2" t="s">
        <v>49</v>
      </c>
      <c r="AB19" s="34" t="s">
        <v>69</v>
      </c>
      <c r="AC19" s="2" t="s">
        <v>77</v>
      </c>
      <c r="AD19" s="49" t="s">
        <v>155</v>
      </c>
      <c r="AE19" s="49" t="s">
        <v>159</v>
      </c>
      <c r="AH19" s="2" t="s">
        <v>64</v>
      </c>
      <c r="AI19" s="72" t="s">
        <v>123</v>
      </c>
      <c r="AJ19" s="34" t="s">
        <v>21</v>
      </c>
      <c r="AK19" s="72" t="s">
        <v>118</v>
      </c>
      <c r="AL19" s="72" t="s">
        <v>139</v>
      </c>
      <c r="AN19" s="42"/>
      <c r="AO19" s="42"/>
      <c r="AP19" s="42"/>
      <c r="AQ19" s="42"/>
    </row>
    <row r="20" spans="27:43" x14ac:dyDescent="0.35">
      <c r="AA20" s="2" t="s">
        <v>114</v>
      </c>
      <c r="AB20" s="35" t="s">
        <v>69</v>
      </c>
      <c r="AC20" s="2" t="s">
        <v>78</v>
      </c>
      <c r="AD20" s="49" t="s">
        <v>156</v>
      </c>
      <c r="AE20" s="49" t="s">
        <v>160</v>
      </c>
      <c r="AH20" s="2" t="s">
        <v>57</v>
      </c>
      <c r="AI20" s="72" t="s">
        <v>124</v>
      </c>
      <c r="AJ20" s="34" t="s">
        <v>22</v>
      </c>
      <c r="AK20" s="72" t="s">
        <v>118</v>
      </c>
      <c r="AL20" s="72" t="s">
        <v>139</v>
      </c>
      <c r="AN20" s="42"/>
      <c r="AO20" s="42"/>
      <c r="AP20" s="42"/>
      <c r="AQ20" s="42"/>
    </row>
    <row r="21" spans="27:43" x14ac:dyDescent="0.35">
      <c r="AA21" s="2" t="s">
        <v>50</v>
      </c>
      <c r="AB21" s="34" t="s">
        <v>69</v>
      </c>
      <c r="AC21" s="2" t="s">
        <v>79</v>
      </c>
      <c r="AD21" s="49" t="s">
        <v>157</v>
      </c>
      <c r="AE21" s="49" t="s">
        <v>161</v>
      </c>
      <c r="AH21" s="2" t="s">
        <v>46</v>
      </c>
      <c r="AI21" s="72" t="s">
        <v>125</v>
      </c>
      <c r="AJ21" s="34" t="s">
        <v>69</v>
      </c>
      <c r="AK21" s="72" t="s">
        <v>118</v>
      </c>
      <c r="AL21" s="72" t="s">
        <v>139</v>
      </c>
      <c r="AN21" s="42"/>
      <c r="AO21" s="42"/>
      <c r="AP21" s="42"/>
      <c r="AQ21" s="42"/>
    </row>
    <row r="22" spans="27:43" x14ac:dyDescent="0.35">
      <c r="AH22" s="2" t="s">
        <v>51</v>
      </c>
      <c r="AI22" s="72" t="s">
        <v>126</v>
      </c>
      <c r="AJ22" s="34" t="s">
        <v>67</v>
      </c>
      <c r="AK22" s="72" t="s">
        <v>37</v>
      </c>
      <c r="AL22" s="72"/>
      <c r="AN22" s="42"/>
      <c r="AO22" s="42"/>
      <c r="AP22" s="42"/>
      <c r="AQ22" s="42"/>
    </row>
    <row r="23" spans="27:43" x14ac:dyDescent="0.35">
      <c r="AH23" s="2" t="s">
        <v>53</v>
      </c>
      <c r="AI23" s="72" t="s">
        <v>127</v>
      </c>
      <c r="AJ23" s="34" t="s">
        <v>23</v>
      </c>
      <c r="AK23" s="72" t="s">
        <v>118</v>
      </c>
      <c r="AL23" s="72" t="s">
        <v>139</v>
      </c>
      <c r="AN23" s="42"/>
      <c r="AO23" s="42"/>
      <c r="AP23" s="42"/>
      <c r="AQ23" s="42"/>
    </row>
    <row r="24" spans="27:43" x14ac:dyDescent="0.35">
      <c r="AH24" s="2" t="s">
        <v>59</v>
      </c>
      <c r="AI24" s="72" t="s">
        <v>128</v>
      </c>
      <c r="AJ24" s="34" t="s">
        <v>67</v>
      </c>
      <c r="AK24" s="72" t="s">
        <v>118</v>
      </c>
      <c r="AL24" s="72" t="s">
        <v>139</v>
      </c>
      <c r="AN24" s="42"/>
      <c r="AO24" s="42"/>
      <c r="AP24" s="42"/>
      <c r="AQ24" s="42"/>
    </row>
    <row r="25" spans="27:43" x14ac:dyDescent="0.35">
      <c r="AH25" s="2" t="s">
        <v>63</v>
      </c>
      <c r="AI25" s="72" t="s">
        <v>129</v>
      </c>
      <c r="AJ25" s="13" t="s">
        <v>23</v>
      </c>
      <c r="AK25" s="72" t="s">
        <v>118</v>
      </c>
      <c r="AL25" s="72" t="s">
        <v>139</v>
      </c>
      <c r="AN25" s="42"/>
      <c r="AO25" s="42"/>
      <c r="AP25" s="42"/>
      <c r="AQ25" s="42"/>
    </row>
    <row r="26" spans="27:43" x14ac:dyDescent="0.35">
      <c r="AH26" s="2" t="s">
        <v>55</v>
      </c>
      <c r="AI26" s="72" t="s">
        <v>130</v>
      </c>
      <c r="AJ26" s="34" t="s">
        <v>21</v>
      </c>
      <c r="AK26" s="72" t="s">
        <v>118</v>
      </c>
      <c r="AL26" s="72" t="s">
        <v>139</v>
      </c>
      <c r="AN26" s="42"/>
      <c r="AO26" s="42"/>
      <c r="AP26" s="42"/>
      <c r="AQ26" s="42"/>
    </row>
    <row r="27" spans="27:43" x14ac:dyDescent="0.35">
      <c r="AN27" s="42"/>
      <c r="AO27" s="42"/>
      <c r="AP27" s="42"/>
      <c r="AQ27" s="42"/>
    </row>
    <row r="28" spans="27:43" x14ac:dyDescent="0.35">
      <c r="AH28" s="18" t="s">
        <v>120</v>
      </c>
      <c r="AI28" s="18"/>
      <c r="AJ28" s="4"/>
      <c r="AK28" s="4"/>
      <c r="AL28" s="4"/>
      <c r="AN28" s="42"/>
      <c r="AO28" s="42"/>
      <c r="AP28" s="42"/>
      <c r="AQ28" s="42"/>
    </row>
    <row r="29" spans="27:43" x14ac:dyDescent="0.35">
      <c r="AH29" s="22" t="s">
        <v>8</v>
      </c>
      <c r="AI29" s="33" t="s">
        <v>35</v>
      </c>
      <c r="AJ29" s="33" t="s">
        <v>13</v>
      </c>
      <c r="AK29" s="33" t="s">
        <v>36</v>
      </c>
      <c r="AL29" s="33" t="s">
        <v>38</v>
      </c>
      <c r="AN29" s="42"/>
      <c r="AO29" s="42"/>
      <c r="AP29" s="42"/>
      <c r="AQ29" s="42"/>
    </row>
    <row r="30" spans="27:43" x14ac:dyDescent="0.35">
      <c r="AH30" s="22"/>
      <c r="AI30" s="33"/>
      <c r="AJ30" s="33"/>
      <c r="AK30" s="33"/>
      <c r="AL30" s="33"/>
      <c r="AN30" s="42"/>
      <c r="AO30" s="42"/>
      <c r="AP30" s="42"/>
      <c r="AQ30" s="42"/>
    </row>
    <row r="31" spans="27:43" x14ac:dyDescent="0.35">
      <c r="AH31" s="2" t="s">
        <v>61</v>
      </c>
      <c r="AI31" s="72" t="s">
        <v>122</v>
      </c>
      <c r="AJ31" s="34" t="s">
        <v>21</v>
      </c>
      <c r="AK31" s="72" t="s">
        <v>37</v>
      </c>
      <c r="AL31" s="72"/>
      <c r="AN31" s="42"/>
      <c r="AO31" s="42"/>
      <c r="AP31" s="42"/>
      <c r="AQ31" s="42"/>
    </row>
    <row r="32" spans="27:43" x14ac:dyDescent="0.35">
      <c r="AH32" s="2" t="s">
        <v>64</v>
      </c>
      <c r="AI32" s="72" t="s">
        <v>123</v>
      </c>
      <c r="AJ32" s="34" t="s">
        <v>21</v>
      </c>
      <c r="AK32" s="72" t="s">
        <v>118</v>
      </c>
      <c r="AL32" s="72" t="s">
        <v>140</v>
      </c>
      <c r="AN32" s="42"/>
      <c r="AO32" s="42"/>
      <c r="AP32" s="42"/>
      <c r="AQ32" s="42"/>
    </row>
    <row r="33" spans="34:43" x14ac:dyDescent="0.35">
      <c r="AH33" s="2" t="s">
        <v>57</v>
      </c>
      <c r="AI33" s="72" t="s">
        <v>124</v>
      </c>
      <c r="AJ33" s="34" t="s">
        <v>22</v>
      </c>
      <c r="AK33" s="72" t="s">
        <v>118</v>
      </c>
      <c r="AL33" s="72" t="s">
        <v>140</v>
      </c>
      <c r="AN33" s="42"/>
      <c r="AO33" s="42"/>
      <c r="AP33" s="42"/>
      <c r="AQ33" s="42"/>
    </row>
    <row r="34" spans="34:43" x14ac:dyDescent="0.35">
      <c r="AH34" s="2" t="s">
        <v>46</v>
      </c>
      <c r="AI34" s="72" t="s">
        <v>125</v>
      </c>
      <c r="AJ34" s="34" t="s">
        <v>69</v>
      </c>
      <c r="AK34" s="72" t="s">
        <v>118</v>
      </c>
      <c r="AL34" s="72" t="s">
        <v>140</v>
      </c>
      <c r="AN34" s="42"/>
      <c r="AO34" s="42"/>
      <c r="AP34" s="42"/>
      <c r="AQ34" s="42"/>
    </row>
    <row r="35" spans="34:43" x14ac:dyDescent="0.35">
      <c r="AH35" s="2" t="s">
        <v>51</v>
      </c>
      <c r="AI35" s="72" t="s">
        <v>126</v>
      </c>
      <c r="AJ35" s="34" t="s">
        <v>67</v>
      </c>
      <c r="AK35" s="72" t="s">
        <v>118</v>
      </c>
      <c r="AL35" s="72" t="s">
        <v>140</v>
      </c>
      <c r="AN35" s="42"/>
      <c r="AO35" s="42"/>
      <c r="AP35" s="42"/>
      <c r="AQ35" s="42"/>
    </row>
    <row r="36" spans="34:43" x14ac:dyDescent="0.35">
      <c r="AH36" s="2" t="s">
        <v>53</v>
      </c>
      <c r="AI36" s="72" t="s">
        <v>127</v>
      </c>
      <c r="AJ36" s="34" t="s">
        <v>23</v>
      </c>
      <c r="AK36" s="72" t="s">
        <v>118</v>
      </c>
      <c r="AL36" s="72" t="s">
        <v>140</v>
      </c>
      <c r="AN36" s="42"/>
      <c r="AO36" s="42"/>
      <c r="AP36" s="42"/>
      <c r="AQ36" s="42"/>
    </row>
    <row r="37" spans="34:43" x14ac:dyDescent="0.35">
      <c r="AH37" s="2" t="s">
        <v>59</v>
      </c>
      <c r="AI37" s="72" t="s">
        <v>128</v>
      </c>
      <c r="AJ37" s="34" t="s">
        <v>67</v>
      </c>
      <c r="AK37" s="72" t="s">
        <v>37</v>
      </c>
      <c r="AL37" s="72"/>
      <c r="AN37" s="50"/>
      <c r="AO37" s="50"/>
      <c r="AP37" s="50"/>
      <c r="AQ37" s="50"/>
    </row>
    <row r="38" spans="34:43" x14ac:dyDescent="0.35">
      <c r="AH38" s="2" t="s">
        <v>63</v>
      </c>
      <c r="AI38" s="72" t="s">
        <v>129</v>
      </c>
      <c r="AJ38" s="13" t="s">
        <v>23</v>
      </c>
      <c r="AK38" s="72" t="s">
        <v>118</v>
      </c>
      <c r="AL38" s="72" t="s">
        <v>140</v>
      </c>
      <c r="AN38" s="50"/>
      <c r="AO38" s="50"/>
      <c r="AP38" s="50"/>
      <c r="AQ38" s="50"/>
    </row>
    <row r="39" spans="34:43" x14ac:dyDescent="0.35">
      <c r="AH39" s="2" t="s">
        <v>55</v>
      </c>
      <c r="AI39" s="72" t="s">
        <v>130</v>
      </c>
      <c r="AJ39" s="34" t="s">
        <v>21</v>
      </c>
      <c r="AK39" s="72" t="s">
        <v>118</v>
      </c>
      <c r="AL39" s="72" t="s">
        <v>140</v>
      </c>
      <c r="AN39" s="50"/>
      <c r="AO39" s="50"/>
      <c r="AP39" s="50"/>
      <c r="AQ39" s="50"/>
    </row>
    <row r="40" spans="34:43" x14ac:dyDescent="0.35">
      <c r="AN40" s="50"/>
      <c r="AO40" s="50"/>
      <c r="AP40" s="50"/>
      <c r="AQ40" s="50"/>
    </row>
    <row r="41" spans="34:43" x14ac:dyDescent="0.35">
      <c r="AH41" s="18" t="s">
        <v>121</v>
      </c>
      <c r="AI41" s="18"/>
      <c r="AJ41" s="4"/>
      <c r="AK41" s="4"/>
      <c r="AL41" s="4"/>
      <c r="AN41" s="50"/>
      <c r="AO41" s="50"/>
      <c r="AP41" s="50"/>
      <c r="AQ41" s="50"/>
    </row>
    <row r="42" spans="34:43" x14ac:dyDescent="0.35">
      <c r="AH42" s="22" t="s">
        <v>8</v>
      </c>
      <c r="AI42" s="33" t="s">
        <v>35</v>
      </c>
      <c r="AJ42" s="33" t="s">
        <v>13</v>
      </c>
      <c r="AK42" s="33" t="s">
        <v>36</v>
      </c>
      <c r="AL42" s="33" t="s">
        <v>38</v>
      </c>
      <c r="AN42" s="50"/>
      <c r="AO42" s="50"/>
      <c r="AP42" s="50"/>
      <c r="AQ42" s="50"/>
    </row>
    <row r="43" spans="34:43" x14ac:dyDescent="0.35">
      <c r="AH43" s="22"/>
      <c r="AI43" s="33"/>
      <c r="AJ43" s="33"/>
      <c r="AK43" s="33"/>
      <c r="AL43" s="33"/>
      <c r="AN43" s="50"/>
      <c r="AO43" s="50"/>
      <c r="AP43" s="50"/>
      <c r="AQ43" s="50"/>
    </row>
    <row r="44" spans="34:43" x14ac:dyDescent="0.35">
      <c r="AH44" s="2" t="s">
        <v>61</v>
      </c>
      <c r="AI44" s="72" t="s">
        <v>122</v>
      </c>
      <c r="AJ44" s="34" t="s">
        <v>21</v>
      </c>
      <c r="AK44" s="72" t="s">
        <v>118</v>
      </c>
      <c r="AL44" s="72" t="s">
        <v>135</v>
      </c>
      <c r="AN44" s="50"/>
      <c r="AO44" s="50"/>
      <c r="AP44" s="50"/>
      <c r="AQ44" s="50"/>
    </row>
    <row r="45" spans="34:43" x14ac:dyDescent="0.35">
      <c r="AH45" s="2" t="s">
        <v>64</v>
      </c>
      <c r="AI45" s="72" t="s">
        <v>123</v>
      </c>
      <c r="AJ45" s="34" t="s">
        <v>21</v>
      </c>
      <c r="AK45" s="72" t="s">
        <v>37</v>
      </c>
      <c r="AL45" s="72"/>
      <c r="AN45" s="50"/>
      <c r="AO45" s="50"/>
      <c r="AP45" s="50"/>
      <c r="AQ45" s="50"/>
    </row>
    <row r="46" spans="34:43" x14ac:dyDescent="0.35">
      <c r="AH46" s="2" t="s">
        <v>57</v>
      </c>
      <c r="AI46" s="72" t="s">
        <v>124</v>
      </c>
      <c r="AJ46" s="34" t="s">
        <v>22</v>
      </c>
      <c r="AK46" s="72" t="s">
        <v>118</v>
      </c>
      <c r="AL46" s="72" t="s">
        <v>135</v>
      </c>
    </row>
    <row r="47" spans="34:43" x14ac:dyDescent="0.35">
      <c r="AH47" s="2" t="s">
        <v>46</v>
      </c>
      <c r="AI47" s="72" t="s">
        <v>125</v>
      </c>
      <c r="AJ47" s="34" t="s">
        <v>69</v>
      </c>
      <c r="AK47" s="72" t="s">
        <v>118</v>
      </c>
      <c r="AL47" s="72" t="s">
        <v>135</v>
      </c>
    </row>
    <row r="48" spans="34:43" x14ac:dyDescent="0.35">
      <c r="AH48" s="2" t="s">
        <v>51</v>
      </c>
      <c r="AI48" s="72" t="s">
        <v>126</v>
      </c>
      <c r="AJ48" s="34" t="s">
        <v>67</v>
      </c>
      <c r="AK48" s="72" t="s">
        <v>118</v>
      </c>
      <c r="AL48" s="72" t="s">
        <v>135</v>
      </c>
    </row>
    <row r="49" spans="34:38" x14ac:dyDescent="0.35">
      <c r="AH49" s="2" t="s">
        <v>53</v>
      </c>
      <c r="AI49" s="72" t="s">
        <v>127</v>
      </c>
      <c r="AJ49" s="34" t="s">
        <v>23</v>
      </c>
      <c r="AK49" s="72" t="s">
        <v>37</v>
      </c>
      <c r="AL49" s="72"/>
    </row>
    <row r="50" spans="34:38" x14ac:dyDescent="0.35">
      <c r="AH50" s="2" t="s">
        <v>59</v>
      </c>
      <c r="AI50" s="72" t="s">
        <v>128</v>
      </c>
      <c r="AJ50" s="34" t="s">
        <v>67</v>
      </c>
      <c r="AK50" s="72" t="s">
        <v>118</v>
      </c>
      <c r="AL50" s="72" t="s">
        <v>135</v>
      </c>
    </row>
    <row r="51" spans="34:38" x14ac:dyDescent="0.35">
      <c r="AH51" s="2" t="s">
        <v>63</v>
      </c>
      <c r="AI51" s="72" t="s">
        <v>129</v>
      </c>
      <c r="AJ51" s="13" t="s">
        <v>23</v>
      </c>
      <c r="AK51" s="72" t="s">
        <v>37</v>
      </c>
      <c r="AL51" s="72"/>
    </row>
    <row r="52" spans="34:38" x14ac:dyDescent="0.35">
      <c r="AH52" s="2" t="s">
        <v>55</v>
      </c>
      <c r="AI52" s="72" t="s">
        <v>130</v>
      </c>
      <c r="AJ52" s="34" t="s">
        <v>21</v>
      </c>
      <c r="AK52" s="49" t="s">
        <v>118</v>
      </c>
      <c r="AL52" s="72" t="s">
        <v>135</v>
      </c>
    </row>
    <row r="54" spans="34:38" x14ac:dyDescent="0.35">
      <c r="AH54" s="18" t="s">
        <v>131</v>
      </c>
      <c r="AI54" s="18"/>
      <c r="AJ54" s="4"/>
      <c r="AK54" s="4"/>
      <c r="AL54" s="4"/>
    </row>
    <row r="55" spans="34:38" x14ac:dyDescent="0.35">
      <c r="AH55" s="22" t="s">
        <v>8</v>
      </c>
      <c r="AI55" s="33" t="s">
        <v>35</v>
      </c>
      <c r="AJ55" s="33" t="s">
        <v>13</v>
      </c>
      <c r="AK55" s="33" t="s">
        <v>36</v>
      </c>
      <c r="AL55" s="33" t="s">
        <v>38</v>
      </c>
    </row>
    <row r="56" spans="34:38" x14ac:dyDescent="0.35">
      <c r="AH56" s="22"/>
      <c r="AI56" s="33"/>
      <c r="AJ56" s="33"/>
      <c r="AK56" s="33"/>
      <c r="AL56" s="33"/>
    </row>
    <row r="57" spans="34:38" x14ac:dyDescent="0.35">
      <c r="AH57" s="2" t="s">
        <v>61</v>
      </c>
      <c r="AI57" s="72" t="s">
        <v>122</v>
      </c>
      <c r="AJ57" s="34" t="s">
        <v>21</v>
      </c>
      <c r="AK57" s="72" t="s">
        <v>118</v>
      </c>
      <c r="AL57" s="72" t="s">
        <v>141</v>
      </c>
    </row>
    <row r="58" spans="34:38" x14ac:dyDescent="0.35">
      <c r="AH58" s="2" t="s">
        <v>64</v>
      </c>
      <c r="AI58" s="72" t="s">
        <v>123</v>
      </c>
      <c r="AJ58" s="34" t="s">
        <v>21</v>
      </c>
      <c r="AK58" s="72" t="s">
        <v>118</v>
      </c>
      <c r="AL58" s="72" t="s">
        <v>141</v>
      </c>
    </row>
    <row r="59" spans="34:38" x14ac:dyDescent="0.35">
      <c r="AH59" s="2" t="s">
        <v>57</v>
      </c>
      <c r="AI59" s="72" t="s">
        <v>124</v>
      </c>
      <c r="AJ59" s="34" t="s">
        <v>22</v>
      </c>
      <c r="AK59" s="72" t="s">
        <v>37</v>
      </c>
      <c r="AL59" s="72"/>
    </row>
    <row r="60" spans="34:38" x14ac:dyDescent="0.35">
      <c r="AH60" s="2" t="s">
        <v>46</v>
      </c>
      <c r="AI60" s="72" t="s">
        <v>125</v>
      </c>
      <c r="AJ60" s="34" t="s">
        <v>69</v>
      </c>
      <c r="AK60" s="72" t="s">
        <v>118</v>
      </c>
      <c r="AL60" s="72" t="s">
        <v>141</v>
      </c>
    </row>
    <row r="61" spans="34:38" x14ac:dyDescent="0.35">
      <c r="AH61" s="2" t="s">
        <v>51</v>
      </c>
      <c r="AI61" s="72" t="s">
        <v>126</v>
      </c>
      <c r="AJ61" s="34" t="s">
        <v>67</v>
      </c>
      <c r="AK61" s="72" t="s">
        <v>118</v>
      </c>
      <c r="AL61" s="72" t="s">
        <v>141</v>
      </c>
    </row>
    <row r="62" spans="34:38" x14ac:dyDescent="0.35">
      <c r="AH62" s="2" t="s">
        <v>53</v>
      </c>
      <c r="AI62" s="72" t="s">
        <v>127</v>
      </c>
      <c r="AJ62" s="34" t="s">
        <v>23</v>
      </c>
      <c r="AK62" s="72" t="s">
        <v>118</v>
      </c>
      <c r="AL62" s="72" t="s">
        <v>141</v>
      </c>
    </row>
    <row r="63" spans="34:38" x14ac:dyDescent="0.35">
      <c r="AH63" s="2" t="s">
        <v>59</v>
      </c>
      <c r="AI63" s="72" t="s">
        <v>128</v>
      </c>
      <c r="AJ63" s="34" t="s">
        <v>67</v>
      </c>
      <c r="AK63" s="72" t="s">
        <v>118</v>
      </c>
      <c r="AL63" s="72" t="s">
        <v>141</v>
      </c>
    </row>
    <row r="64" spans="34:38" x14ac:dyDescent="0.35">
      <c r="AH64" s="2" t="s">
        <v>63</v>
      </c>
      <c r="AI64" s="72" t="s">
        <v>129</v>
      </c>
      <c r="AJ64" s="13" t="s">
        <v>23</v>
      </c>
      <c r="AK64" s="72" t="s">
        <v>118</v>
      </c>
      <c r="AL64" s="72" t="s">
        <v>141</v>
      </c>
    </row>
    <row r="65" spans="34:38" x14ac:dyDescent="0.35">
      <c r="AH65" s="2" t="s">
        <v>55</v>
      </c>
      <c r="AI65" s="72" t="s">
        <v>130</v>
      </c>
      <c r="AJ65" s="34" t="s">
        <v>21</v>
      </c>
      <c r="AK65" s="72" t="s">
        <v>37</v>
      </c>
      <c r="AL65" s="72"/>
    </row>
  </sheetData>
  <mergeCells count="67">
    <mergeCell ref="AN8:AQ36"/>
    <mergeCell ref="AN2:AQ3"/>
    <mergeCell ref="AA16:AE16"/>
    <mergeCell ref="AN4:AQ7"/>
    <mergeCell ref="AH54:AI54"/>
    <mergeCell ref="AH55:AH56"/>
    <mergeCell ref="AI55:AI56"/>
    <mergeCell ref="AJ55:AJ56"/>
    <mergeCell ref="AK55:AK56"/>
    <mergeCell ref="AL55:AL56"/>
    <mergeCell ref="AH41:AI41"/>
    <mergeCell ref="AH42:AH43"/>
    <mergeCell ref="AI42:AI43"/>
    <mergeCell ref="AJ42:AJ43"/>
    <mergeCell ref="AK42:AK43"/>
    <mergeCell ref="AL42:AL43"/>
    <mergeCell ref="AH28:AI28"/>
    <mergeCell ref="AH29:AH30"/>
    <mergeCell ref="AI29:AI30"/>
    <mergeCell ref="AJ29:AJ30"/>
    <mergeCell ref="AK29:AK30"/>
    <mergeCell ref="AL29:AL30"/>
    <mergeCell ref="AH15:AI15"/>
    <mergeCell ref="AH16:AH17"/>
    <mergeCell ref="AI16:AI17"/>
    <mergeCell ref="AJ16:AJ17"/>
    <mergeCell ref="AK16:AK17"/>
    <mergeCell ref="AL16:AL17"/>
    <mergeCell ref="AH2:AI2"/>
    <mergeCell ref="AH3:AH4"/>
    <mergeCell ref="AI3:AI4"/>
    <mergeCell ref="AJ3:AJ4"/>
    <mergeCell ref="AK3:AK4"/>
    <mergeCell ref="AL3:AL4"/>
    <mergeCell ref="Y2:AE2"/>
    <mergeCell ref="Y4:Y5"/>
    <mergeCell ref="Z4:Z5"/>
    <mergeCell ref="AA4:AA5"/>
    <mergeCell ref="AB4:AB5"/>
    <mergeCell ref="AC4:AC5"/>
    <mergeCell ref="AD4:AD5"/>
    <mergeCell ref="AE4:AE5"/>
    <mergeCell ref="I6:I7"/>
    <mergeCell ref="J6:J7"/>
    <mergeCell ref="T2:W2"/>
    <mergeCell ref="T4:T5"/>
    <mergeCell ref="U4:U5"/>
    <mergeCell ref="V4:V5"/>
    <mergeCell ref="W4:W5"/>
    <mergeCell ref="Q2:Q3"/>
    <mergeCell ref="R2:R3"/>
    <mergeCell ref="B6:B7"/>
    <mergeCell ref="C6:C7"/>
    <mergeCell ref="D6:D7"/>
    <mergeCell ref="E6:E7"/>
    <mergeCell ref="F6:F7"/>
    <mergeCell ref="G6:G7"/>
    <mergeCell ref="H6:H7"/>
    <mergeCell ref="H5:J5"/>
    <mergeCell ref="L2:L3"/>
    <mergeCell ref="M2:M3"/>
    <mergeCell ref="N2:N3"/>
    <mergeCell ref="O2:O3"/>
    <mergeCell ref="P2:P3"/>
    <mergeCell ref="B1:E3"/>
    <mergeCell ref="F1:I3"/>
    <mergeCell ref="B5:G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A939-55B5-45D2-9774-F624AEEAD686}">
  <dimension ref="A2:BV67"/>
  <sheetViews>
    <sheetView topLeftCell="AO1" zoomScale="85" zoomScaleNormal="85" workbookViewId="0">
      <selection activeCell="AQ6" sqref="AQ6:AT9"/>
    </sheetView>
  </sheetViews>
  <sheetFormatPr defaultRowHeight="14.5" x14ac:dyDescent="0.35"/>
  <cols>
    <col min="7" max="7" width="15" customWidth="1"/>
    <col min="8" max="8" width="16.90625" customWidth="1"/>
    <col min="9" max="9" width="15.90625" customWidth="1"/>
    <col min="11" max="11" width="24.26953125" customWidth="1"/>
    <col min="12" max="12" width="13.6328125" customWidth="1"/>
    <col min="13" max="13" width="14.08984375" customWidth="1"/>
    <col min="14" max="14" width="9.6328125" customWidth="1"/>
    <col min="15" max="15" width="8.6328125" customWidth="1"/>
    <col min="16" max="16" width="20.81640625" customWidth="1"/>
    <col min="17" max="17" width="31.7265625" customWidth="1"/>
    <col min="18" max="18" width="12.90625" customWidth="1"/>
    <col min="19" max="19" width="5.54296875" customWidth="1"/>
    <col min="20" max="20" width="12.453125" customWidth="1"/>
    <col min="22" max="22" width="13.81640625" customWidth="1"/>
    <col min="23" max="23" width="9.36328125" customWidth="1"/>
    <col min="24" max="24" width="9.6328125" customWidth="1"/>
    <col min="25" max="25" width="16.81640625" customWidth="1"/>
    <col min="26" max="26" width="31" customWidth="1"/>
    <col min="28" max="28" width="25.453125" customWidth="1"/>
    <col min="29" max="29" width="18.7265625" customWidth="1"/>
    <col min="30" max="30" width="29.453125" customWidth="1"/>
    <col min="31" max="31" width="30.90625" customWidth="1"/>
    <col min="34" max="34" width="11.08984375" customWidth="1"/>
    <col min="35" max="35" width="8.7265625" customWidth="1"/>
    <col min="36" max="36" width="16.81640625" customWidth="1"/>
    <col min="37" max="37" width="30" customWidth="1"/>
    <col min="38" max="38" width="29.26953125" customWidth="1"/>
    <col min="39" max="39" width="15.26953125" customWidth="1"/>
    <col min="40" max="40" width="17" customWidth="1"/>
    <col min="43" max="43" width="15.26953125" customWidth="1"/>
    <col min="44" max="44" width="15.7265625" customWidth="1"/>
    <col min="45" max="45" width="21.453125" customWidth="1"/>
    <col min="46" max="46" width="17.453125" customWidth="1"/>
    <col min="48" max="48" width="12.54296875" customWidth="1"/>
    <col min="49" max="49" width="14.81640625" customWidth="1"/>
    <col min="50" max="50" width="16.453125" customWidth="1"/>
    <col min="51" max="51" width="15.453125" customWidth="1"/>
    <col min="52" max="52" width="20" customWidth="1"/>
    <col min="54" max="54" width="70.26953125" customWidth="1"/>
  </cols>
  <sheetData>
    <row r="2" spans="1:74" ht="14.5" customHeight="1" x14ac:dyDescent="0.35">
      <c r="A2" s="15" t="s">
        <v>0</v>
      </c>
      <c r="B2" s="15"/>
      <c r="C2" s="15"/>
      <c r="D2" s="15"/>
      <c r="E2" s="15"/>
      <c r="F2" s="15"/>
      <c r="G2" s="15" t="s">
        <v>2</v>
      </c>
      <c r="H2" s="15"/>
      <c r="I2" s="15"/>
    </row>
    <row r="3" spans="1:74" ht="28" x14ac:dyDescent="0.35">
      <c r="A3" s="11" t="s">
        <v>1</v>
      </c>
      <c r="B3" s="9">
        <v>1</v>
      </c>
      <c r="C3" s="9">
        <v>2</v>
      </c>
      <c r="D3" s="9">
        <v>3</v>
      </c>
      <c r="E3" s="9">
        <v>4</v>
      </c>
      <c r="F3" s="9">
        <v>5</v>
      </c>
      <c r="G3" s="11" t="s">
        <v>3</v>
      </c>
      <c r="H3" s="11" t="s">
        <v>4</v>
      </c>
      <c r="I3" s="11" t="s">
        <v>5</v>
      </c>
      <c r="K3" s="21" t="s">
        <v>7</v>
      </c>
      <c r="L3" s="21"/>
      <c r="M3" s="21"/>
      <c r="N3" s="21"/>
      <c r="O3" s="21"/>
      <c r="P3" s="21"/>
      <c r="Q3" s="21"/>
      <c r="R3" s="21"/>
    </row>
    <row r="4" spans="1:74" x14ac:dyDescent="0.35">
      <c r="A4" s="12"/>
      <c r="B4" s="10"/>
      <c r="C4" s="10"/>
      <c r="D4" s="10"/>
      <c r="E4" s="10"/>
      <c r="F4" s="10"/>
      <c r="G4" s="12"/>
      <c r="H4" s="12"/>
      <c r="I4" s="12"/>
      <c r="K4" s="3"/>
      <c r="L4" s="3"/>
      <c r="M4" s="3"/>
      <c r="N4" s="3"/>
      <c r="O4" s="6"/>
      <c r="P4" s="3"/>
      <c r="Q4" s="3"/>
      <c r="AV4" s="18" t="s">
        <v>118</v>
      </c>
      <c r="AW4" s="18"/>
      <c r="AX4" s="3"/>
      <c r="AY4" s="3"/>
      <c r="AZ4" s="3"/>
    </row>
    <row r="5" spans="1:74" ht="14.5" customHeight="1" x14ac:dyDescent="0.35">
      <c r="A5" s="1">
        <v>221</v>
      </c>
      <c r="B5" s="2" t="s">
        <v>39</v>
      </c>
      <c r="C5" s="2" t="s">
        <v>40</v>
      </c>
      <c r="D5" s="2" t="s">
        <v>41</v>
      </c>
      <c r="E5" s="2" t="s">
        <v>42</v>
      </c>
      <c r="F5" s="2" t="s">
        <v>6</v>
      </c>
      <c r="G5" s="2" t="s">
        <v>43</v>
      </c>
      <c r="H5" s="2" t="s">
        <v>44</v>
      </c>
      <c r="I5" s="2" t="s">
        <v>45</v>
      </c>
      <c r="K5" s="22" t="s">
        <v>8</v>
      </c>
      <c r="L5" s="23" t="s">
        <v>9</v>
      </c>
      <c r="M5" s="23" t="s">
        <v>10</v>
      </c>
      <c r="N5" s="23" t="s">
        <v>11</v>
      </c>
      <c r="O5" s="26" t="s">
        <v>12</v>
      </c>
      <c r="P5" s="26" t="s">
        <v>13</v>
      </c>
      <c r="Q5" s="23" t="s">
        <v>14</v>
      </c>
      <c r="T5" s="22" t="s">
        <v>8</v>
      </c>
      <c r="U5" s="23" t="s">
        <v>9</v>
      </c>
      <c r="V5" s="23" t="s">
        <v>10</v>
      </c>
      <c r="W5" s="23" t="s">
        <v>11</v>
      </c>
      <c r="X5" s="26" t="s">
        <v>12</v>
      </c>
      <c r="Y5" s="26" t="s">
        <v>13</v>
      </c>
      <c r="Z5" s="23" t="s">
        <v>14</v>
      </c>
      <c r="AB5" s="21" t="s">
        <v>24</v>
      </c>
      <c r="AC5" s="21"/>
      <c r="AD5" s="21"/>
      <c r="AE5" s="21"/>
      <c r="AH5" s="14" t="s">
        <v>30</v>
      </c>
      <c r="AI5" s="14"/>
      <c r="AJ5" s="14"/>
      <c r="AK5" s="14"/>
      <c r="AL5" s="14"/>
      <c r="AM5" s="14"/>
      <c r="AN5" s="14"/>
      <c r="AV5" s="22" t="s">
        <v>8</v>
      </c>
      <c r="AW5" s="23" t="s">
        <v>35</v>
      </c>
      <c r="AX5" s="23" t="s">
        <v>13</v>
      </c>
      <c r="AY5" s="23" t="s">
        <v>36</v>
      </c>
      <c r="AZ5" s="23" t="s">
        <v>38</v>
      </c>
      <c r="BB5" t="s">
        <v>142</v>
      </c>
      <c r="BC5">
        <v>1</v>
      </c>
      <c r="BV5">
        <v>1</v>
      </c>
    </row>
    <row r="6" spans="1:74" x14ac:dyDescent="0.35">
      <c r="K6" s="22"/>
      <c r="L6" s="23"/>
      <c r="M6" s="23"/>
      <c r="N6" s="23"/>
      <c r="O6" s="27"/>
      <c r="P6" s="27"/>
      <c r="Q6" s="23"/>
      <c r="T6" s="22"/>
      <c r="U6" s="23"/>
      <c r="V6" s="23"/>
      <c r="W6" s="23"/>
      <c r="X6" s="27"/>
      <c r="Y6" s="27"/>
      <c r="Z6" s="23"/>
      <c r="AB6" s="3"/>
      <c r="AC6" s="3"/>
      <c r="AD6" s="3"/>
      <c r="AE6" s="3"/>
      <c r="AH6" s="3"/>
      <c r="AI6" s="3"/>
      <c r="AJ6" s="3"/>
      <c r="AK6" s="3"/>
      <c r="AL6" s="3"/>
      <c r="AM6" s="3"/>
      <c r="AN6" s="3"/>
      <c r="AQ6" s="2" t="s">
        <v>48</v>
      </c>
      <c r="AR6" s="34" t="s">
        <v>69</v>
      </c>
      <c r="AS6" s="2" t="s">
        <v>76</v>
      </c>
      <c r="AT6" s="28" t="s">
        <v>115</v>
      </c>
      <c r="AV6" s="22"/>
      <c r="AW6" s="23"/>
      <c r="AX6" s="23"/>
      <c r="AY6" s="23"/>
      <c r="AZ6" s="23"/>
      <c r="BB6" t="s">
        <v>145</v>
      </c>
    </row>
    <row r="7" spans="1:74" x14ac:dyDescent="0.35">
      <c r="K7" s="2" t="s">
        <v>46</v>
      </c>
      <c r="L7" s="1" t="s">
        <v>47</v>
      </c>
      <c r="M7" s="2" t="s">
        <v>15</v>
      </c>
      <c r="N7" s="1"/>
      <c r="O7" s="2"/>
      <c r="P7" s="2"/>
      <c r="Q7" s="2"/>
      <c r="T7" s="2" t="s">
        <v>61</v>
      </c>
      <c r="U7" s="1">
        <f>7+1</f>
        <v>8</v>
      </c>
      <c r="V7" s="2" t="s">
        <v>15</v>
      </c>
      <c r="W7" s="1">
        <v>16</v>
      </c>
      <c r="X7" s="2" t="s">
        <v>18</v>
      </c>
      <c r="Y7" s="34" t="s">
        <v>21</v>
      </c>
      <c r="Z7" s="2" t="s">
        <v>72</v>
      </c>
      <c r="AB7" s="19" t="s">
        <v>25</v>
      </c>
      <c r="AC7" s="19" t="s">
        <v>26</v>
      </c>
      <c r="AD7" s="19" t="s">
        <v>27</v>
      </c>
      <c r="AE7" s="19" t="s">
        <v>28</v>
      </c>
      <c r="AH7" s="22" t="s">
        <v>8</v>
      </c>
      <c r="AI7" s="23" t="s">
        <v>31</v>
      </c>
      <c r="AJ7" s="23" t="s">
        <v>13</v>
      </c>
      <c r="AK7" s="22" t="s">
        <v>14</v>
      </c>
      <c r="AL7" s="23" t="s">
        <v>32</v>
      </c>
      <c r="AM7" s="23" t="s">
        <v>33</v>
      </c>
      <c r="AN7" s="23" t="s">
        <v>34</v>
      </c>
      <c r="AQ7" s="2" t="s">
        <v>49</v>
      </c>
      <c r="AR7" s="34" t="s">
        <v>69</v>
      </c>
      <c r="AS7" s="2" t="s">
        <v>77</v>
      </c>
      <c r="AT7" s="28" t="s">
        <v>116</v>
      </c>
      <c r="AV7" s="2" t="s">
        <v>61</v>
      </c>
      <c r="AW7" s="2" t="s">
        <v>122</v>
      </c>
      <c r="AX7" s="34" t="s">
        <v>21</v>
      </c>
      <c r="AY7" s="2" t="s">
        <v>120</v>
      </c>
      <c r="AZ7" s="5" t="s">
        <v>133</v>
      </c>
      <c r="BB7" t="s">
        <v>146</v>
      </c>
    </row>
    <row r="8" spans="1:74" x14ac:dyDescent="0.35">
      <c r="K8" s="2" t="s">
        <v>48</v>
      </c>
      <c r="L8" s="1" t="s">
        <v>47</v>
      </c>
      <c r="M8" s="2" t="s">
        <v>16</v>
      </c>
      <c r="N8" s="1"/>
      <c r="O8" s="2"/>
      <c r="P8" s="2"/>
      <c r="Q8" s="2"/>
      <c r="T8" s="2" t="s">
        <v>64</v>
      </c>
      <c r="U8" s="1">
        <f>10+1</f>
        <v>11</v>
      </c>
      <c r="V8" s="2" t="s">
        <v>15</v>
      </c>
      <c r="W8" s="1">
        <v>16</v>
      </c>
      <c r="X8" s="2" t="s">
        <v>18</v>
      </c>
      <c r="Y8" s="34" t="s">
        <v>21</v>
      </c>
      <c r="Z8" s="2" t="s">
        <v>73</v>
      </c>
      <c r="AB8" s="20"/>
      <c r="AC8" s="20"/>
      <c r="AD8" s="20"/>
      <c r="AE8" s="20"/>
      <c r="AH8" s="22"/>
      <c r="AI8" s="23"/>
      <c r="AJ8" s="23"/>
      <c r="AK8" s="22"/>
      <c r="AL8" s="23"/>
      <c r="AM8" s="23"/>
      <c r="AN8" s="23"/>
      <c r="AQ8" s="2" t="s">
        <v>114</v>
      </c>
      <c r="AR8" s="35" t="s">
        <v>69</v>
      </c>
      <c r="AS8" s="2" t="s">
        <v>78</v>
      </c>
      <c r="AT8" s="28" t="s">
        <v>134</v>
      </c>
      <c r="AV8" s="2" t="s">
        <v>64</v>
      </c>
      <c r="AW8" s="2" t="s">
        <v>123</v>
      </c>
      <c r="AX8" s="34" t="s">
        <v>21</v>
      </c>
      <c r="AY8" s="2" t="s">
        <v>121</v>
      </c>
      <c r="AZ8" s="5" t="s">
        <v>136</v>
      </c>
      <c r="BB8" t="s">
        <v>143</v>
      </c>
    </row>
    <row r="9" spans="1:74" x14ac:dyDescent="0.35">
      <c r="K9" s="2" t="s">
        <v>49</v>
      </c>
      <c r="L9" s="1" t="s">
        <v>47</v>
      </c>
      <c r="M9" s="2" t="s">
        <v>16</v>
      </c>
      <c r="N9" s="1"/>
      <c r="O9" s="2"/>
      <c r="P9" s="2"/>
      <c r="Q9" s="2"/>
      <c r="T9" s="2" t="s">
        <v>57</v>
      </c>
      <c r="U9" s="1">
        <f>3+1</f>
        <v>4</v>
      </c>
      <c r="V9" s="2" t="s">
        <v>15</v>
      </c>
      <c r="W9" s="1">
        <v>8</v>
      </c>
      <c r="X9" s="2" t="s">
        <v>19</v>
      </c>
      <c r="Y9" s="34" t="s">
        <v>22</v>
      </c>
      <c r="Z9" s="2" t="s">
        <v>74</v>
      </c>
      <c r="AB9" s="2" t="s">
        <v>29</v>
      </c>
      <c r="AC9" s="36" t="s">
        <v>43</v>
      </c>
      <c r="AD9" s="2" t="s">
        <v>85</v>
      </c>
      <c r="AE9" s="2" t="s">
        <v>90</v>
      </c>
      <c r="AH9" s="2" t="s">
        <v>61</v>
      </c>
      <c r="AI9" s="8">
        <v>7</v>
      </c>
      <c r="AJ9" s="34" t="s">
        <v>21</v>
      </c>
      <c r="AK9" s="2" t="s">
        <v>72</v>
      </c>
      <c r="AL9" s="2" t="s">
        <v>93</v>
      </c>
      <c r="AM9" s="7" t="s">
        <v>101</v>
      </c>
      <c r="AN9" s="7" t="s">
        <v>105</v>
      </c>
      <c r="AQ9" s="2" t="s">
        <v>50</v>
      </c>
      <c r="AR9" s="34" t="s">
        <v>69</v>
      </c>
      <c r="AS9" s="2" t="s">
        <v>79</v>
      </c>
      <c r="AT9" s="28" t="s">
        <v>117</v>
      </c>
      <c r="AV9" s="2" t="s">
        <v>57</v>
      </c>
      <c r="AW9" s="2" t="s">
        <v>124</v>
      </c>
      <c r="AX9" s="34" t="s">
        <v>22</v>
      </c>
      <c r="AY9" s="2" t="s">
        <v>131</v>
      </c>
      <c r="AZ9" s="5" t="s">
        <v>137</v>
      </c>
      <c r="BB9" t="s">
        <v>144</v>
      </c>
    </row>
    <row r="10" spans="1:74" x14ac:dyDescent="0.35">
      <c r="K10" s="2" t="s">
        <v>114</v>
      </c>
      <c r="L10" s="1" t="s">
        <v>47</v>
      </c>
      <c r="M10" s="2" t="s">
        <v>16</v>
      </c>
      <c r="N10" s="1"/>
      <c r="O10" s="2"/>
      <c r="P10" s="2"/>
      <c r="Q10" s="2"/>
      <c r="T10" s="2" t="s">
        <v>46</v>
      </c>
      <c r="U10" s="1">
        <f>1+1</f>
        <v>2</v>
      </c>
      <c r="V10" s="2" t="s">
        <v>15</v>
      </c>
      <c r="W10" s="1">
        <v>4</v>
      </c>
      <c r="X10" s="2" t="s">
        <v>17</v>
      </c>
      <c r="Y10" s="34" t="s">
        <v>69</v>
      </c>
      <c r="Z10" s="2" t="s">
        <v>75</v>
      </c>
      <c r="AB10" s="2" t="s">
        <v>4</v>
      </c>
      <c r="AC10" s="36" t="s">
        <v>44</v>
      </c>
      <c r="AD10" s="2" t="s">
        <v>86</v>
      </c>
      <c r="AE10" s="2" t="s">
        <v>92</v>
      </c>
      <c r="AH10" s="2" t="s">
        <v>64</v>
      </c>
      <c r="AI10" s="8">
        <v>10</v>
      </c>
      <c r="AJ10" s="34" t="s">
        <v>21</v>
      </c>
      <c r="AK10" s="2" t="s">
        <v>73</v>
      </c>
      <c r="AL10" s="2" t="s">
        <v>94</v>
      </c>
      <c r="AM10" s="7" t="s">
        <v>102</v>
      </c>
      <c r="AN10" s="7" t="s">
        <v>106</v>
      </c>
      <c r="AV10" s="2" t="s">
        <v>46</v>
      </c>
      <c r="AW10" s="2" t="s">
        <v>125</v>
      </c>
      <c r="AX10" s="34" t="s">
        <v>69</v>
      </c>
      <c r="AY10" s="2" t="s">
        <v>37</v>
      </c>
      <c r="AZ10" s="5"/>
      <c r="BB10" t="s">
        <v>148</v>
      </c>
    </row>
    <row r="11" spans="1:74" x14ac:dyDescent="0.35">
      <c r="K11" s="2" t="s">
        <v>50</v>
      </c>
      <c r="L11" s="1" t="s">
        <v>47</v>
      </c>
      <c r="M11" s="2" t="s">
        <v>16</v>
      </c>
      <c r="N11" s="1"/>
      <c r="O11" s="2"/>
      <c r="P11" s="2"/>
      <c r="Q11" s="2"/>
      <c r="T11" s="2" t="s">
        <v>48</v>
      </c>
      <c r="U11" s="1">
        <f>1+1</f>
        <v>2</v>
      </c>
      <c r="V11" s="2" t="s">
        <v>16</v>
      </c>
      <c r="W11" s="1">
        <v>4</v>
      </c>
      <c r="X11" s="2" t="s">
        <v>17</v>
      </c>
      <c r="Y11" s="34" t="s">
        <v>69</v>
      </c>
      <c r="Z11" s="2" t="s">
        <v>76</v>
      </c>
      <c r="AB11" s="2" t="s">
        <v>5</v>
      </c>
      <c r="AC11" s="36" t="s">
        <v>45</v>
      </c>
      <c r="AD11" s="2" t="s">
        <v>87</v>
      </c>
      <c r="AE11" s="2" t="s">
        <v>91</v>
      </c>
      <c r="AH11" s="2" t="s">
        <v>57</v>
      </c>
      <c r="AI11" s="8">
        <v>3</v>
      </c>
      <c r="AJ11" s="34" t="s">
        <v>22</v>
      </c>
      <c r="AK11" s="2" t="s">
        <v>74</v>
      </c>
      <c r="AL11" s="2" t="s">
        <v>95</v>
      </c>
      <c r="AM11" s="7" t="s">
        <v>103</v>
      </c>
      <c r="AN11" s="7" t="s">
        <v>107</v>
      </c>
      <c r="AV11" s="2" t="s">
        <v>51</v>
      </c>
      <c r="AW11" s="2" t="s">
        <v>126</v>
      </c>
      <c r="AX11" s="34" t="s">
        <v>67</v>
      </c>
      <c r="AY11" s="2" t="s">
        <v>132</v>
      </c>
      <c r="AZ11" s="5" t="s">
        <v>138</v>
      </c>
    </row>
    <row r="12" spans="1:74" x14ac:dyDescent="0.35">
      <c r="K12" s="2" t="s">
        <v>51</v>
      </c>
      <c r="L12" s="1" t="s">
        <v>52</v>
      </c>
      <c r="M12" s="2" t="s">
        <v>66</v>
      </c>
      <c r="N12" s="1"/>
      <c r="O12" s="2"/>
      <c r="P12" s="2"/>
      <c r="Q12" s="2"/>
      <c r="T12" s="2" t="s">
        <v>49</v>
      </c>
      <c r="U12" s="1">
        <f>1+1</f>
        <v>2</v>
      </c>
      <c r="V12" s="2" t="s">
        <v>16</v>
      </c>
      <c r="W12" s="1">
        <v>4</v>
      </c>
      <c r="X12" s="2" t="s">
        <v>17</v>
      </c>
      <c r="Y12" s="34" t="s">
        <v>69</v>
      </c>
      <c r="Z12" s="2" t="s">
        <v>77</v>
      </c>
      <c r="AH12" s="2" t="s">
        <v>46</v>
      </c>
      <c r="AI12" s="8">
        <v>0</v>
      </c>
      <c r="AJ12" s="34" t="s">
        <v>69</v>
      </c>
      <c r="AK12" s="2" t="s">
        <v>75</v>
      </c>
      <c r="AL12" s="2"/>
      <c r="AM12" s="7" t="s">
        <v>104</v>
      </c>
      <c r="AN12" s="7" t="s">
        <v>108</v>
      </c>
      <c r="AV12" s="2" t="s">
        <v>53</v>
      </c>
      <c r="AW12" s="2" t="s">
        <v>127</v>
      </c>
      <c r="AX12" s="34" t="s">
        <v>23</v>
      </c>
      <c r="AY12" s="2" t="s">
        <v>121</v>
      </c>
      <c r="AZ12" s="5" t="s">
        <v>136</v>
      </c>
      <c r="BB12" t="s">
        <v>147</v>
      </c>
    </row>
    <row r="13" spans="1:74" x14ac:dyDescent="0.35">
      <c r="K13" s="2" t="s">
        <v>53</v>
      </c>
      <c r="L13" s="1" t="s">
        <v>54</v>
      </c>
      <c r="M13" s="2" t="s">
        <v>66</v>
      </c>
      <c r="N13" s="1"/>
      <c r="O13" s="2"/>
      <c r="P13" s="2"/>
      <c r="Q13" s="2"/>
      <c r="T13" s="2" t="s">
        <v>114</v>
      </c>
      <c r="U13" s="1">
        <f>1+1</f>
        <v>2</v>
      </c>
      <c r="V13" s="2" t="s">
        <v>16</v>
      </c>
      <c r="W13" s="1">
        <v>4</v>
      </c>
      <c r="X13" s="2" t="s">
        <v>17</v>
      </c>
      <c r="Y13" s="35" t="s">
        <v>69</v>
      </c>
      <c r="Z13" s="2" t="s">
        <v>78</v>
      </c>
      <c r="AH13" s="2" t="s">
        <v>51</v>
      </c>
      <c r="AI13" s="8">
        <v>18</v>
      </c>
      <c r="AJ13" s="34" t="s">
        <v>67</v>
      </c>
      <c r="AK13" s="2" t="s">
        <v>80</v>
      </c>
      <c r="AL13" s="2" t="s">
        <v>96</v>
      </c>
      <c r="AM13" s="7"/>
      <c r="AN13" s="7" t="s">
        <v>109</v>
      </c>
      <c r="AV13" s="2" t="s">
        <v>59</v>
      </c>
      <c r="AW13" s="2" t="s">
        <v>128</v>
      </c>
      <c r="AX13" s="34" t="s">
        <v>67</v>
      </c>
      <c r="AY13" s="2" t="s">
        <v>120</v>
      </c>
      <c r="AZ13" s="5" t="s">
        <v>133</v>
      </c>
      <c r="BB13" t="s">
        <v>150</v>
      </c>
    </row>
    <row r="14" spans="1:74" x14ac:dyDescent="0.35">
      <c r="K14" s="2" t="s">
        <v>55</v>
      </c>
      <c r="L14" s="1" t="s">
        <v>56</v>
      </c>
      <c r="M14" s="2" t="s">
        <v>66</v>
      </c>
      <c r="N14" s="1"/>
      <c r="O14" s="2"/>
      <c r="P14" s="2"/>
      <c r="Q14" s="2"/>
      <c r="T14" s="2" t="s">
        <v>50</v>
      </c>
      <c r="U14" s="1">
        <f>1+1</f>
        <v>2</v>
      </c>
      <c r="V14" s="2" t="s">
        <v>16</v>
      </c>
      <c r="W14" s="1">
        <v>4</v>
      </c>
      <c r="X14" s="2" t="s">
        <v>17</v>
      </c>
      <c r="Y14" s="34" t="s">
        <v>69</v>
      </c>
      <c r="Z14" s="2" t="s">
        <v>79</v>
      </c>
      <c r="AB14" s="38" t="s">
        <v>89</v>
      </c>
      <c r="AC14" s="38"/>
      <c r="AD14" s="38"/>
      <c r="AH14" s="2" t="s">
        <v>53</v>
      </c>
      <c r="AI14" s="8">
        <v>22</v>
      </c>
      <c r="AJ14" s="34" t="s">
        <v>23</v>
      </c>
      <c r="AK14" s="2" t="s">
        <v>81</v>
      </c>
      <c r="AL14" s="2" t="s">
        <v>97</v>
      </c>
      <c r="AM14" s="7"/>
      <c r="AN14" s="7" t="s">
        <v>110</v>
      </c>
      <c r="AV14" s="2" t="s">
        <v>63</v>
      </c>
      <c r="AW14" s="2" t="s">
        <v>129</v>
      </c>
      <c r="AX14" s="13" t="s">
        <v>23</v>
      </c>
      <c r="AY14" s="2" t="s">
        <v>121</v>
      </c>
      <c r="AZ14" s="5" t="s">
        <v>136</v>
      </c>
      <c r="BB14" s="40" t="s">
        <v>149</v>
      </c>
    </row>
    <row r="15" spans="1:74" ht="14.5" customHeight="1" x14ac:dyDescent="0.35">
      <c r="K15" s="2" t="s">
        <v>57</v>
      </c>
      <c r="L15" s="1" t="s">
        <v>58</v>
      </c>
      <c r="M15" s="2" t="s">
        <v>15</v>
      </c>
      <c r="N15" s="1"/>
      <c r="O15" s="2"/>
      <c r="P15" s="2"/>
      <c r="Q15" s="2"/>
      <c r="T15" s="2" t="s">
        <v>51</v>
      </c>
      <c r="U15" s="1">
        <f>18+1</f>
        <v>19</v>
      </c>
      <c r="V15" s="2" t="s">
        <v>66</v>
      </c>
      <c r="W15" s="1">
        <v>32</v>
      </c>
      <c r="X15" s="2" t="s">
        <v>20</v>
      </c>
      <c r="Y15" s="34" t="s">
        <v>67</v>
      </c>
      <c r="Z15" s="2" t="s">
        <v>80</v>
      </c>
      <c r="AB15" s="37" t="s">
        <v>88</v>
      </c>
      <c r="AC15" s="37"/>
      <c r="AD15" s="37"/>
      <c r="AH15" s="2" t="s">
        <v>59</v>
      </c>
      <c r="AI15" s="8">
        <v>15</v>
      </c>
      <c r="AJ15" s="34" t="s">
        <v>67</v>
      </c>
      <c r="AK15" s="2" t="s">
        <v>82</v>
      </c>
      <c r="AL15" s="2" t="s">
        <v>98</v>
      </c>
      <c r="AM15" s="7"/>
      <c r="AN15" s="7" t="s">
        <v>111</v>
      </c>
      <c r="AV15" s="2" t="s">
        <v>55</v>
      </c>
      <c r="AW15" s="2" t="s">
        <v>130</v>
      </c>
      <c r="AX15" s="34" t="s">
        <v>21</v>
      </c>
      <c r="AY15" s="28" t="s">
        <v>131</v>
      </c>
      <c r="AZ15" s="5" t="s">
        <v>137</v>
      </c>
    </row>
    <row r="16" spans="1:74" x14ac:dyDescent="0.35">
      <c r="K16" s="2" t="s">
        <v>59</v>
      </c>
      <c r="L16" s="1" t="s">
        <v>60</v>
      </c>
      <c r="M16" s="2" t="s">
        <v>66</v>
      </c>
      <c r="N16" s="1"/>
      <c r="O16" s="2"/>
      <c r="P16" s="2"/>
      <c r="Q16" s="2"/>
      <c r="T16" s="2" t="s">
        <v>53</v>
      </c>
      <c r="U16" s="1">
        <f>22+1</f>
        <v>23</v>
      </c>
      <c r="V16" s="2" t="s">
        <v>66</v>
      </c>
      <c r="W16" s="1">
        <v>32</v>
      </c>
      <c r="X16" s="2" t="s">
        <v>20</v>
      </c>
      <c r="Y16" s="34" t="s">
        <v>23</v>
      </c>
      <c r="Z16" s="2" t="s">
        <v>81</v>
      </c>
      <c r="AB16" s="37"/>
      <c r="AC16" s="37"/>
      <c r="AD16" s="37"/>
      <c r="AH16" s="2" t="s">
        <v>63</v>
      </c>
      <c r="AI16" s="8">
        <v>18</v>
      </c>
      <c r="AJ16" s="13" t="s">
        <v>23</v>
      </c>
      <c r="AK16" s="2" t="s">
        <v>83</v>
      </c>
      <c r="AL16" s="2" t="s">
        <v>99</v>
      </c>
      <c r="AM16" s="7"/>
      <c r="AN16" s="7" t="s">
        <v>112</v>
      </c>
    </row>
    <row r="17" spans="11:52" x14ac:dyDescent="0.35">
      <c r="K17" s="2" t="s">
        <v>61</v>
      </c>
      <c r="L17" s="1" t="s">
        <v>62</v>
      </c>
      <c r="M17" s="2" t="s">
        <v>15</v>
      </c>
      <c r="N17" s="1"/>
      <c r="O17" s="2"/>
      <c r="P17" s="2"/>
      <c r="Q17" s="2"/>
      <c r="T17" s="2" t="s">
        <v>59</v>
      </c>
      <c r="U17" s="1">
        <f>15+1</f>
        <v>16</v>
      </c>
      <c r="V17" s="2" t="s">
        <v>66</v>
      </c>
      <c r="W17" s="1">
        <v>32</v>
      </c>
      <c r="X17" s="2" t="s">
        <v>20</v>
      </c>
      <c r="Y17" s="34" t="s">
        <v>67</v>
      </c>
      <c r="Z17" s="2" t="s">
        <v>82</v>
      </c>
      <c r="AB17" s="37"/>
      <c r="AC17" s="37"/>
      <c r="AD17" s="37"/>
      <c r="AH17" s="2" t="s">
        <v>55</v>
      </c>
      <c r="AI17" s="39">
        <v>11</v>
      </c>
      <c r="AJ17" s="34" t="s">
        <v>21</v>
      </c>
      <c r="AK17" s="2" t="s">
        <v>84</v>
      </c>
      <c r="AL17" s="2" t="s">
        <v>100</v>
      </c>
      <c r="AM17" s="28"/>
      <c r="AN17" s="7" t="s">
        <v>113</v>
      </c>
      <c r="AV17" s="18" t="s">
        <v>119</v>
      </c>
      <c r="AW17" s="18"/>
      <c r="AX17" s="3"/>
      <c r="AY17" s="3"/>
      <c r="AZ17" s="3"/>
    </row>
    <row r="18" spans="11:52" x14ac:dyDescent="0.35">
      <c r="K18" s="2" t="s">
        <v>63</v>
      </c>
      <c r="L18" s="1" t="s">
        <v>52</v>
      </c>
      <c r="M18" s="2" t="s">
        <v>66</v>
      </c>
      <c r="N18" s="1"/>
      <c r="O18" s="2"/>
      <c r="P18" s="2"/>
      <c r="Q18" s="2"/>
      <c r="T18" s="2" t="s">
        <v>63</v>
      </c>
      <c r="U18" s="1">
        <f>18+1</f>
        <v>19</v>
      </c>
      <c r="V18" s="2" t="s">
        <v>66</v>
      </c>
      <c r="W18" s="1">
        <v>32</v>
      </c>
      <c r="X18" s="2" t="s">
        <v>20</v>
      </c>
      <c r="Y18" s="13" t="s">
        <v>23</v>
      </c>
      <c r="Z18" s="2" t="s">
        <v>83</v>
      </c>
      <c r="AV18" s="22" t="s">
        <v>8</v>
      </c>
      <c r="AW18" s="23" t="s">
        <v>35</v>
      </c>
      <c r="AX18" s="23" t="s">
        <v>13</v>
      </c>
      <c r="AY18" s="23" t="s">
        <v>36</v>
      </c>
      <c r="AZ18" s="23" t="s">
        <v>38</v>
      </c>
    </row>
    <row r="19" spans="11:52" x14ac:dyDescent="0.35">
      <c r="K19" s="2" t="s">
        <v>64</v>
      </c>
      <c r="L19" s="1" t="s">
        <v>65</v>
      </c>
      <c r="M19" s="2" t="s">
        <v>15</v>
      </c>
      <c r="N19" s="1"/>
      <c r="O19" s="2"/>
      <c r="P19" s="2"/>
      <c r="Q19" s="2"/>
      <c r="T19" s="2" t="s">
        <v>55</v>
      </c>
      <c r="U19" s="1">
        <f>11+1</f>
        <v>12</v>
      </c>
      <c r="V19" s="2" t="s">
        <v>66</v>
      </c>
      <c r="W19" s="1">
        <v>16</v>
      </c>
      <c r="X19" s="2" t="s">
        <v>18</v>
      </c>
      <c r="Y19" s="34" t="s">
        <v>21</v>
      </c>
      <c r="Z19" s="2" t="s">
        <v>84</v>
      </c>
      <c r="AK19">
        <f>65+14</f>
        <v>79</v>
      </c>
      <c r="AV19" s="22"/>
      <c r="AW19" s="23"/>
      <c r="AX19" s="23"/>
      <c r="AY19" s="23"/>
      <c r="AZ19" s="23"/>
    </row>
    <row r="20" spans="11:52" x14ac:dyDescent="0.35">
      <c r="K20" s="29"/>
      <c r="L20" s="30"/>
      <c r="M20" s="29"/>
      <c r="N20" s="30"/>
      <c r="O20" s="31"/>
      <c r="P20" s="29"/>
      <c r="Q20" s="29"/>
      <c r="R20" s="29"/>
      <c r="AV20" s="2" t="s">
        <v>61</v>
      </c>
      <c r="AW20" s="2" t="s">
        <v>122</v>
      </c>
      <c r="AX20" s="34" t="s">
        <v>21</v>
      </c>
      <c r="AY20" s="2" t="s">
        <v>118</v>
      </c>
      <c r="AZ20" s="2" t="s">
        <v>139</v>
      </c>
    </row>
    <row r="21" spans="11:52" x14ac:dyDescent="0.35">
      <c r="K21" s="32" t="s">
        <v>68</v>
      </c>
      <c r="L21" s="24"/>
      <c r="M21" s="24"/>
      <c r="N21" s="24"/>
      <c r="O21" s="24"/>
      <c r="P21" s="24"/>
      <c r="Q21" s="24"/>
      <c r="R21" s="24"/>
      <c r="X21" s="2">
        <v>512</v>
      </c>
      <c r="Y21" s="36" t="s">
        <v>43</v>
      </c>
      <c r="Z21" s="28" t="s">
        <v>70</v>
      </c>
      <c r="AV21" s="2" t="s">
        <v>64</v>
      </c>
      <c r="AW21" s="2" t="s">
        <v>123</v>
      </c>
      <c r="AX21" s="34" t="s">
        <v>21</v>
      </c>
      <c r="AY21" s="2" t="s">
        <v>118</v>
      </c>
      <c r="AZ21" s="2" t="s">
        <v>139</v>
      </c>
    </row>
    <row r="22" spans="11:52" ht="14.5" customHeight="1" x14ac:dyDescent="0.35">
      <c r="K22" s="24"/>
      <c r="L22" s="24"/>
      <c r="M22" s="24"/>
      <c r="N22" s="24"/>
      <c r="O22" s="24"/>
      <c r="P22" s="24"/>
      <c r="Q22" s="24"/>
      <c r="R22" s="24"/>
      <c r="X22" s="2">
        <v>128</v>
      </c>
      <c r="Y22" s="36" t="s">
        <v>44</v>
      </c>
      <c r="Z22" s="28" t="s">
        <v>71</v>
      </c>
      <c r="AV22" s="2" t="s">
        <v>57</v>
      </c>
      <c r="AW22" s="2" t="s">
        <v>124</v>
      </c>
      <c r="AX22" s="34" t="s">
        <v>22</v>
      </c>
      <c r="AY22" s="2" t="s">
        <v>118</v>
      </c>
      <c r="AZ22" s="2" t="s">
        <v>139</v>
      </c>
    </row>
    <row r="23" spans="11:52" x14ac:dyDescent="0.35">
      <c r="K23" s="24"/>
      <c r="L23" s="24"/>
      <c r="M23" s="24"/>
      <c r="N23" s="24"/>
      <c r="O23" s="24"/>
      <c r="P23" s="24"/>
      <c r="Q23" s="24"/>
      <c r="R23" s="24"/>
      <c r="X23" s="2">
        <v>32</v>
      </c>
      <c r="Y23" s="36" t="s">
        <v>45</v>
      </c>
      <c r="Z23" s="28" t="s">
        <v>5</v>
      </c>
      <c r="AV23" s="2" t="s">
        <v>46</v>
      </c>
      <c r="AW23" s="2" t="s">
        <v>125</v>
      </c>
      <c r="AX23" s="34" t="s">
        <v>69</v>
      </c>
      <c r="AY23" s="2" t="s">
        <v>118</v>
      </c>
      <c r="AZ23" s="2" t="s">
        <v>139</v>
      </c>
    </row>
    <row r="24" spans="11:52" x14ac:dyDescent="0.35">
      <c r="AV24" s="2" t="s">
        <v>51</v>
      </c>
      <c r="AW24" s="2" t="s">
        <v>126</v>
      </c>
      <c r="AX24" s="34" t="s">
        <v>67</v>
      </c>
      <c r="AY24" s="2" t="s">
        <v>37</v>
      </c>
      <c r="AZ24" s="2"/>
    </row>
    <row r="25" spans="11:52" x14ac:dyDescent="0.35">
      <c r="K25" s="22" t="s">
        <v>8</v>
      </c>
      <c r="L25" s="23" t="s">
        <v>9</v>
      </c>
      <c r="M25" s="23" t="s">
        <v>10</v>
      </c>
      <c r="N25" s="23" t="s">
        <v>11</v>
      </c>
      <c r="O25" s="26" t="s">
        <v>12</v>
      </c>
      <c r="P25" s="26" t="s">
        <v>13</v>
      </c>
      <c r="Q25" s="23" t="s">
        <v>14</v>
      </c>
      <c r="AV25" s="2" t="s">
        <v>53</v>
      </c>
      <c r="AW25" s="2" t="s">
        <v>127</v>
      </c>
      <c r="AX25" s="34" t="s">
        <v>23</v>
      </c>
      <c r="AY25" s="2" t="s">
        <v>118</v>
      </c>
      <c r="AZ25" s="2" t="s">
        <v>139</v>
      </c>
    </row>
    <row r="26" spans="11:52" x14ac:dyDescent="0.35">
      <c r="K26" s="22"/>
      <c r="L26" s="23"/>
      <c r="M26" s="23"/>
      <c r="N26" s="23"/>
      <c r="O26" s="27"/>
      <c r="P26" s="27"/>
      <c r="Q26" s="23"/>
      <c r="AV26" s="2" t="s">
        <v>59</v>
      </c>
      <c r="AW26" s="2" t="s">
        <v>128</v>
      </c>
      <c r="AX26" s="34" t="s">
        <v>67</v>
      </c>
      <c r="AY26" s="2" t="s">
        <v>118</v>
      </c>
      <c r="AZ26" s="2" t="s">
        <v>139</v>
      </c>
    </row>
    <row r="27" spans="11:52" x14ac:dyDescent="0.35">
      <c r="K27" s="2" t="s">
        <v>46</v>
      </c>
      <c r="L27" s="1">
        <f>1+1</f>
        <v>2</v>
      </c>
      <c r="M27" s="2" t="s">
        <v>15</v>
      </c>
      <c r="N27" s="1">
        <v>4</v>
      </c>
      <c r="O27" s="2" t="s">
        <v>17</v>
      </c>
      <c r="P27" s="2" t="s">
        <v>69</v>
      </c>
      <c r="Q27" s="2"/>
      <c r="AV27" s="2" t="s">
        <v>63</v>
      </c>
      <c r="AW27" s="2" t="s">
        <v>129</v>
      </c>
      <c r="AX27" s="13" t="s">
        <v>23</v>
      </c>
      <c r="AY27" s="2" t="s">
        <v>118</v>
      </c>
      <c r="AZ27" s="2" t="s">
        <v>139</v>
      </c>
    </row>
    <row r="28" spans="11:52" x14ac:dyDescent="0.35">
      <c r="K28" s="2" t="s">
        <v>48</v>
      </c>
      <c r="L28" s="1">
        <f>1+1</f>
        <v>2</v>
      </c>
      <c r="M28" s="2" t="s">
        <v>16</v>
      </c>
      <c r="N28" s="1">
        <v>4</v>
      </c>
      <c r="O28" s="2" t="s">
        <v>17</v>
      </c>
      <c r="P28" s="2" t="s">
        <v>69</v>
      </c>
      <c r="Q28" s="2"/>
      <c r="AV28" s="2" t="s">
        <v>55</v>
      </c>
      <c r="AW28" s="2" t="s">
        <v>130</v>
      </c>
      <c r="AX28" s="34" t="s">
        <v>21</v>
      </c>
      <c r="AY28" s="2" t="s">
        <v>118</v>
      </c>
      <c r="AZ28" s="2" t="s">
        <v>139</v>
      </c>
    </row>
    <row r="29" spans="11:52" x14ac:dyDescent="0.35">
      <c r="K29" s="2" t="s">
        <v>49</v>
      </c>
      <c r="L29" s="1">
        <f>1+1</f>
        <v>2</v>
      </c>
      <c r="M29" s="2" t="s">
        <v>16</v>
      </c>
      <c r="N29" s="1">
        <v>4</v>
      </c>
      <c r="O29" s="2" t="s">
        <v>17</v>
      </c>
      <c r="P29" s="2" t="s">
        <v>69</v>
      </c>
      <c r="Q29" s="2"/>
    </row>
    <row r="30" spans="11:52" x14ac:dyDescent="0.35">
      <c r="K30" s="2" t="s">
        <v>49</v>
      </c>
      <c r="L30" s="1">
        <f>1+1</f>
        <v>2</v>
      </c>
      <c r="M30" s="2" t="s">
        <v>16</v>
      </c>
      <c r="N30" s="1">
        <v>4</v>
      </c>
      <c r="O30" s="2" t="s">
        <v>17</v>
      </c>
      <c r="P30" s="2" t="s">
        <v>69</v>
      </c>
      <c r="Q30" s="2"/>
      <c r="AV30" s="18" t="s">
        <v>120</v>
      </c>
      <c r="AW30" s="18"/>
      <c r="AX30" s="3"/>
      <c r="AY30" s="3"/>
      <c r="AZ30" s="3"/>
    </row>
    <row r="31" spans="11:52" x14ac:dyDescent="0.35">
      <c r="K31" s="2" t="s">
        <v>50</v>
      </c>
      <c r="L31" s="1">
        <f>1+1</f>
        <v>2</v>
      </c>
      <c r="M31" s="2" t="s">
        <v>16</v>
      </c>
      <c r="N31" s="1">
        <v>4</v>
      </c>
      <c r="O31" s="2" t="s">
        <v>17</v>
      </c>
      <c r="P31" s="2" t="s">
        <v>69</v>
      </c>
      <c r="Q31" s="2"/>
      <c r="AV31" s="22" t="s">
        <v>8</v>
      </c>
      <c r="AW31" s="23" t="s">
        <v>35</v>
      </c>
      <c r="AX31" s="23" t="s">
        <v>13</v>
      </c>
      <c r="AY31" s="23" t="s">
        <v>36</v>
      </c>
      <c r="AZ31" s="23" t="s">
        <v>38</v>
      </c>
    </row>
    <row r="32" spans="11:52" x14ac:dyDescent="0.35">
      <c r="K32" s="2" t="s">
        <v>51</v>
      </c>
      <c r="L32" s="1">
        <f>18+1</f>
        <v>19</v>
      </c>
      <c r="M32" s="2" t="s">
        <v>66</v>
      </c>
      <c r="N32" s="1">
        <v>32</v>
      </c>
      <c r="O32" s="2" t="s">
        <v>20</v>
      </c>
      <c r="P32" s="2" t="s">
        <v>67</v>
      </c>
      <c r="Q32" s="2"/>
      <c r="AV32" s="22"/>
      <c r="AW32" s="23"/>
      <c r="AX32" s="23"/>
      <c r="AY32" s="23"/>
      <c r="AZ32" s="23"/>
    </row>
    <row r="33" spans="11:52" x14ac:dyDescent="0.35">
      <c r="K33" s="2" t="s">
        <v>53</v>
      </c>
      <c r="L33" s="1">
        <f>22+1</f>
        <v>23</v>
      </c>
      <c r="M33" s="2" t="s">
        <v>66</v>
      </c>
      <c r="N33" s="1">
        <v>32</v>
      </c>
      <c r="O33" s="2" t="s">
        <v>20</v>
      </c>
      <c r="P33" s="3" t="s">
        <v>23</v>
      </c>
      <c r="Q33" s="2"/>
      <c r="AL33">
        <f>29+10</f>
        <v>39</v>
      </c>
      <c r="AV33" s="2" t="s">
        <v>61</v>
      </c>
      <c r="AW33" s="2" t="s">
        <v>122</v>
      </c>
      <c r="AX33" s="34" t="s">
        <v>21</v>
      </c>
      <c r="AY33" s="2" t="s">
        <v>37</v>
      </c>
      <c r="AZ33" s="2"/>
    </row>
    <row r="34" spans="11:52" x14ac:dyDescent="0.35">
      <c r="K34" s="2" t="s">
        <v>55</v>
      </c>
      <c r="L34" s="1">
        <f>11+1</f>
        <v>12</v>
      </c>
      <c r="M34" s="2" t="s">
        <v>66</v>
      </c>
      <c r="N34" s="1">
        <v>16</v>
      </c>
      <c r="O34" s="2" t="s">
        <v>18</v>
      </c>
      <c r="P34" s="2" t="s">
        <v>21</v>
      </c>
      <c r="Q34" s="2"/>
      <c r="AV34" s="2" t="s">
        <v>64</v>
      </c>
      <c r="AW34" s="2" t="s">
        <v>123</v>
      </c>
      <c r="AX34" s="34" t="s">
        <v>21</v>
      </c>
      <c r="AY34" s="2" t="s">
        <v>118</v>
      </c>
      <c r="AZ34" s="2" t="s">
        <v>140</v>
      </c>
    </row>
    <row r="35" spans="11:52" x14ac:dyDescent="0.35">
      <c r="K35" s="2" t="s">
        <v>57</v>
      </c>
      <c r="L35" s="1">
        <f>3+1</f>
        <v>4</v>
      </c>
      <c r="M35" s="2" t="s">
        <v>15</v>
      </c>
      <c r="N35" s="1">
        <v>8</v>
      </c>
      <c r="O35" s="2" t="s">
        <v>19</v>
      </c>
      <c r="P35" s="2" t="s">
        <v>22</v>
      </c>
      <c r="Q35" s="2"/>
      <c r="AV35" s="2" t="s">
        <v>57</v>
      </c>
      <c r="AW35" s="2" t="s">
        <v>124</v>
      </c>
      <c r="AX35" s="34" t="s">
        <v>22</v>
      </c>
      <c r="AY35" s="2" t="s">
        <v>118</v>
      </c>
      <c r="AZ35" s="2" t="s">
        <v>140</v>
      </c>
    </row>
    <row r="36" spans="11:52" x14ac:dyDescent="0.35">
      <c r="K36" s="2" t="s">
        <v>59</v>
      </c>
      <c r="L36" s="1">
        <f>15+1</f>
        <v>16</v>
      </c>
      <c r="M36" s="2" t="s">
        <v>66</v>
      </c>
      <c r="N36" s="1">
        <v>32</v>
      </c>
      <c r="O36" s="2" t="s">
        <v>20</v>
      </c>
      <c r="P36" s="2" t="s">
        <v>67</v>
      </c>
      <c r="Q36" s="2"/>
      <c r="AV36" s="2" t="s">
        <v>46</v>
      </c>
      <c r="AW36" s="2" t="s">
        <v>125</v>
      </c>
      <c r="AX36" s="34" t="s">
        <v>69</v>
      </c>
      <c r="AY36" s="2" t="s">
        <v>118</v>
      </c>
      <c r="AZ36" s="2" t="s">
        <v>140</v>
      </c>
    </row>
    <row r="37" spans="11:52" x14ac:dyDescent="0.35">
      <c r="K37" s="2" t="s">
        <v>61</v>
      </c>
      <c r="L37" s="1">
        <f>7+1</f>
        <v>8</v>
      </c>
      <c r="M37" s="2" t="s">
        <v>15</v>
      </c>
      <c r="N37" s="1">
        <v>16</v>
      </c>
      <c r="O37" s="2" t="s">
        <v>18</v>
      </c>
      <c r="P37" s="2" t="s">
        <v>21</v>
      </c>
      <c r="Q37" s="2"/>
      <c r="AV37" s="2" t="s">
        <v>51</v>
      </c>
      <c r="AW37" s="2" t="s">
        <v>126</v>
      </c>
      <c r="AX37" s="34" t="s">
        <v>67</v>
      </c>
      <c r="AY37" s="2" t="s">
        <v>118</v>
      </c>
      <c r="AZ37" s="2" t="s">
        <v>140</v>
      </c>
    </row>
    <row r="38" spans="11:52" x14ac:dyDescent="0.35">
      <c r="K38" s="2" t="s">
        <v>63</v>
      </c>
      <c r="L38" s="1">
        <f>18+1</f>
        <v>19</v>
      </c>
      <c r="M38" s="2" t="s">
        <v>66</v>
      </c>
      <c r="N38" s="1">
        <v>32</v>
      </c>
      <c r="O38" s="2" t="s">
        <v>20</v>
      </c>
      <c r="P38" s="3" t="s">
        <v>23</v>
      </c>
      <c r="Q38" s="2"/>
      <c r="AV38" s="2" t="s">
        <v>53</v>
      </c>
      <c r="AW38" s="2" t="s">
        <v>127</v>
      </c>
      <c r="AX38" s="34" t="s">
        <v>23</v>
      </c>
      <c r="AY38" s="2" t="s">
        <v>118</v>
      </c>
      <c r="AZ38" s="2" t="s">
        <v>140</v>
      </c>
    </row>
    <row r="39" spans="11:52" x14ac:dyDescent="0.35">
      <c r="K39" s="2" t="s">
        <v>64</v>
      </c>
      <c r="L39" s="1">
        <f>10+1</f>
        <v>11</v>
      </c>
      <c r="M39" s="2" t="s">
        <v>15</v>
      </c>
      <c r="N39" s="1">
        <v>16</v>
      </c>
      <c r="O39" s="2" t="s">
        <v>18</v>
      </c>
      <c r="P39" s="2" t="s">
        <v>21</v>
      </c>
      <c r="Q39" s="2"/>
      <c r="AV39" s="2" t="s">
        <v>59</v>
      </c>
      <c r="AW39" s="2" t="s">
        <v>128</v>
      </c>
      <c r="AX39" s="34" t="s">
        <v>67</v>
      </c>
      <c r="AY39" s="2" t="s">
        <v>37</v>
      </c>
      <c r="AZ39" s="2"/>
    </row>
    <row r="40" spans="11:52" x14ac:dyDescent="0.35">
      <c r="AV40" s="2" t="s">
        <v>63</v>
      </c>
      <c r="AW40" s="2" t="s">
        <v>129</v>
      </c>
      <c r="AX40" s="13" t="s">
        <v>23</v>
      </c>
      <c r="AY40" s="2" t="s">
        <v>118</v>
      </c>
      <c r="AZ40" s="2" t="s">
        <v>140</v>
      </c>
    </row>
    <row r="41" spans="11:52" x14ac:dyDescent="0.35">
      <c r="AV41" s="2" t="s">
        <v>55</v>
      </c>
      <c r="AW41" s="2" t="s">
        <v>130</v>
      </c>
      <c r="AX41" s="34" t="s">
        <v>21</v>
      </c>
      <c r="AY41" s="2" t="s">
        <v>118</v>
      </c>
      <c r="AZ41" s="2" t="s">
        <v>140</v>
      </c>
    </row>
    <row r="43" spans="11:52" x14ac:dyDescent="0.35">
      <c r="AV43" s="18" t="s">
        <v>121</v>
      </c>
      <c r="AW43" s="18"/>
      <c r="AX43" s="3"/>
      <c r="AY43" s="3"/>
      <c r="AZ43" s="3"/>
    </row>
    <row r="44" spans="11:52" x14ac:dyDescent="0.35">
      <c r="AV44" s="22" t="s">
        <v>8</v>
      </c>
      <c r="AW44" s="23" t="s">
        <v>35</v>
      </c>
      <c r="AX44" s="23" t="s">
        <v>13</v>
      </c>
      <c r="AY44" s="23" t="s">
        <v>36</v>
      </c>
      <c r="AZ44" s="23" t="s">
        <v>38</v>
      </c>
    </row>
    <row r="45" spans="11:52" x14ac:dyDescent="0.35">
      <c r="AV45" s="22"/>
      <c r="AW45" s="23"/>
      <c r="AX45" s="23"/>
      <c r="AY45" s="23"/>
      <c r="AZ45" s="23"/>
    </row>
    <row r="46" spans="11:52" x14ac:dyDescent="0.35">
      <c r="AV46" s="2" t="s">
        <v>61</v>
      </c>
      <c r="AW46" s="2" t="s">
        <v>122</v>
      </c>
      <c r="AX46" s="34" t="s">
        <v>21</v>
      </c>
      <c r="AY46" s="2" t="s">
        <v>118</v>
      </c>
      <c r="AZ46" s="2" t="s">
        <v>135</v>
      </c>
    </row>
    <row r="47" spans="11:52" x14ac:dyDescent="0.35">
      <c r="AV47" s="2" t="s">
        <v>64</v>
      </c>
      <c r="AW47" s="2" t="s">
        <v>123</v>
      </c>
      <c r="AX47" s="34" t="s">
        <v>21</v>
      </c>
      <c r="AY47" s="2" t="s">
        <v>37</v>
      </c>
      <c r="AZ47" s="2"/>
    </row>
    <row r="48" spans="11:52" x14ac:dyDescent="0.35">
      <c r="AV48" s="2" t="s">
        <v>57</v>
      </c>
      <c r="AW48" s="2" t="s">
        <v>124</v>
      </c>
      <c r="AX48" s="34" t="s">
        <v>22</v>
      </c>
      <c r="AY48" s="2" t="s">
        <v>118</v>
      </c>
      <c r="AZ48" s="2" t="s">
        <v>135</v>
      </c>
    </row>
    <row r="49" spans="48:52" x14ac:dyDescent="0.35">
      <c r="AV49" s="2" t="s">
        <v>46</v>
      </c>
      <c r="AW49" s="2" t="s">
        <v>125</v>
      </c>
      <c r="AX49" s="34" t="s">
        <v>69</v>
      </c>
      <c r="AY49" s="2" t="s">
        <v>118</v>
      </c>
      <c r="AZ49" s="2" t="s">
        <v>135</v>
      </c>
    </row>
    <row r="50" spans="48:52" x14ac:dyDescent="0.35">
      <c r="AV50" s="2" t="s">
        <v>51</v>
      </c>
      <c r="AW50" s="2" t="s">
        <v>126</v>
      </c>
      <c r="AX50" s="34" t="s">
        <v>67</v>
      </c>
      <c r="AY50" s="2" t="s">
        <v>118</v>
      </c>
      <c r="AZ50" s="2" t="s">
        <v>135</v>
      </c>
    </row>
    <row r="51" spans="48:52" x14ac:dyDescent="0.35">
      <c r="AV51" s="2" t="s">
        <v>53</v>
      </c>
      <c r="AW51" s="2" t="s">
        <v>127</v>
      </c>
      <c r="AX51" s="34" t="s">
        <v>23</v>
      </c>
      <c r="AY51" s="2" t="s">
        <v>37</v>
      </c>
      <c r="AZ51" s="2"/>
    </row>
    <row r="52" spans="48:52" x14ac:dyDescent="0.35">
      <c r="AV52" s="2" t="s">
        <v>59</v>
      </c>
      <c r="AW52" s="2" t="s">
        <v>128</v>
      </c>
      <c r="AX52" s="34" t="s">
        <v>67</v>
      </c>
      <c r="AY52" s="2" t="s">
        <v>118</v>
      </c>
      <c r="AZ52" s="2" t="s">
        <v>135</v>
      </c>
    </row>
    <row r="53" spans="48:52" x14ac:dyDescent="0.35">
      <c r="AV53" s="2" t="s">
        <v>63</v>
      </c>
      <c r="AW53" s="2" t="s">
        <v>129</v>
      </c>
      <c r="AX53" s="13" t="s">
        <v>23</v>
      </c>
      <c r="AY53" s="2" t="s">
        <v>37</v>
      </c>
      <c r="AZ53" s="2"/>
    </row>
    <row r="54" spans="48:52" x14ac:dyDescent="0.35">
      <c r="AV54" s="2" t="s">
        <v>55</v>
      </c>
      <c r="AW54" s="2" t="s">
        <v>130</v>
      </c>
      <c r="AX54" s="34" t="s">
        <v>21</v>
      </c>
      <c r="AY54" s="28" t="s">
        <v>118</v>
      </c>
      <c r="AZ54" s="2" t="s">
        <v>135</v>
      </c>
    </row>
    <row r="56" spans="48:52" x14ac:dyDescent="0.35">
      <c r="AV56" s="18" t="s">
        <v>131</v>
      </c>
      <c r="AW56" s="18"/>
      <c r="AX56" s="3"/>
      <c r="AY56" s="3"/>
      <c r="AZ56" s="3"/>
    </row>
    <row r="57" spans="48:52" x14ac:dyDescent="0.35">
      <c r="AV57" s="22" t="s">
        <v>8</v>
      </c>
      <c r="AW57" s="23" t="s">
        <v>35</v>
      </c>
      <c r="AX57" s="23" t="s">
        <v>13</v>
      </c>
      <c r="AY57" s="23" t="s">
        <v>36</v>
      </c>
      <c r="AZ57" s="23" t="s">
        <v>38</v>
      </c>
    </row>
    <row r="58" spans="48:52" x14ac:dyDescent="0.35">
      <c r="AV58" s="22"/>
      <c r="AW58" s="23"/>
      <c r="AX58" s="23"/>
      <c r="AY58" s="23"/>
      <c r="AZ58" s="23"/>
    </row>
    <row r="59" spans="48:52" x14ac:dyDescent="0.35">
      <c r="AV59" s="2" t="s">
        <v>61</v>
      </c>
      <c r="AW59" s="2" t="s">
        <v>122</v>
      </c>
      <c r="AX59" s="34" t="s">
        <v>21</v>
      </c>
      <c r="AY59" s="2" t="s">
        <v>118</v>
      </c>
      <c r="AZ59" s="2" t="s">
        <v>141</v>
      </c>
    </row>
    <row r="60" spans="48:52" x14ac:dyDescent="0.35">
      <c r="AV60" s="2" t="s">
        <v>64</v>
      </c>
      <c r="AW60" s="2" t="s">
        <v>123</v>
      </c>
      <c r="AX60" s="34" t="s">
        <v>21</v>
      </c>
      <c r="AY60" s="2" t="s">
        <v>118</v>
      </c>
      <c r="AZ60" s="2" t="s">
        <v>141</v>
      </c>
    </row>
    <row r="61" spans="48:52" x14ac:dyDescent="0.35">
      <c r="AV61" s="2" t="s">
        <v>57</v>
      </c>
      <c r="AW61" s="2" t="s">
        <v>124</v>
      </c>
      <c r="AX61" s="34" t="s">
        <v>22</v>
      </c>
      <c r="AY61" s="2" t="s">
        <v>37</v>
      </c>
      <c r="AZ61" s="2"/>
    </row>
    <row r="62" spans="48:52" x14ac:dyDescent="0.35">
      <c r="AV62" s="2" t="s">
        <v>46</v>
      </c>
      <c r="AW62" s="2" t="s">
        <v>125</v>
      </c>
      <c r="AX62" s="34" t="s">
        <v>69</v>
      </c>
      <c r="AY62" s="2" t="s">
        <v>118</v>
      </c>
      <c r="AZ62" s="2" t="s">
        <v>141</v>
      </c>
    </row>
    <row r="63" spans="48:52" x14ac:dyDescent="0.35">
      <c r="AV63" s="2" t="s">
        <v>51</v>
      </c>
      <c r="AW63" s="2" t="s">
        <v>126</v>
      </c>
      <c r="AX63" s="34" t="s">
        <v>67</v>
      </c>
      <c r="AY63" s="2" t="s">
        <v>118</v>
      </c>
      <c r="AZ63" s="2" t="s">
        <v>141</v>
      </c>
    </row>
    <row r="64" spans="48:52" x14ac:dyDescent="0.35">
      <c r="AV64" s="2" t="s">
        <v>53</v>
      </c>
      <c r="AW64" s="2" t="s">
        <v>127</v>
      </c>
      <c r="AX64" s="34" t="s">
        <v>23</v>
      </c>
      <c r="AY64" s="2" t="s">
        <v>118</v>
      </c>
      <c r="AZ64" s="2" t="s">
        <v>141</v>
      </c>
    </row>
    <row r="65" spans="48:52" x14ac:dyDescent="0.35">
      <c r="AV65" s="2" t="s">
        <v>59</v>
      </c>
      <c r="AW65" s="2" t="s">
        <v>128</v>
      </c>
      <c r="AX65" s="34" t="s">
        <v>67</v>
      </c>
      <c r="AY65" s="2" t="s">
        <v>118</v>
      </c>
      <c r="AZ65" s="2" t="s">
        <v>141</v>
      </c>
    </row>
    <row r="66" spans="48:52" x14ac:dyDescent="0.35">
      <c r="AV66" s="2" t="s">
        <v>63</v>
      </c>
      <c r="AW66" s="2" t="s">
        <v>129</v>
      </c>
      <c r="AX66" s="13" t="s">
        <v>23</v>
      </c>
      <c r="AY66" s="2" t="s">
        <v>118</v>
      </c>
      <c r="AZ66" s="2" t="s">
        <v>141</v>
      </c>
    </row>
    <row r="67" spans="48:52" x14ac:dyDescent="0.35">
      <c r="AV67" s="2" t="s">
        <v>55</v>
      </c>
      <c r="AW67" s="2" t="s">
        <v>130</v>
      </c>
      <c r="AX67" s="34" t="s">
        <v>21</v>
      </c>
      <c r="AY67" s="2" t="s">
        <v>37</v>
      </c>
      <c r="AZ67" s="2"/>
    </row>
  </sheetData>
  <sortState xmlns:xlrd2="http://schemas.microsoft.com/office/spreadsheetml/2017/richdata2" ref="T7:Z19">
    <sortCondition ref="V7:V19"/>
    <sortCondition descending="1" ref="W7:W19"/>
  </sortState>
  <mergeCells count="70">
    <mergeCell ref="AV56:AW56"/>
    <mergeCell ref="AV57:AV58"/>
    <mergeCell ref="AW57:AW58"/>
    <mergeCell ref="AX57:AX58"/>
    <mergeCell ref="AY57:AY58"/>
    <mergeCell ref="AZ57:AZ58"/>
    <mergeCell ref="AV43:AW43"/>
    <mergeCell ref="AV44:AV45"/>
    <mergeCell ref="AW44:AW45"/>
    <mergeCell ref="AX44:AX45"/>
    <mergeCell ref="AY44:AY45"/>
    <mergeCell ref="AZ44:AZ45"/>
    <mergeCell ref="AV30:AW30"/>
    <mergeCell ref="AV31:AV32"/>
    <mergeCell ref="AW31:AW32"/>
    <mergeCell ref="AX31:AX32"/>
    <mergeCell ref="AY31:AY32"/>
    <mergeCell ref="AZ31:AZ32"/>
    <mergeCell ref="AV17:AW17"/>
    <mergeCell ref="AV18:AV19"/>
    <mergeCell ref="AW18:AW19"/>
    <mergeCell ref="AX18:AX19"/>
    <mergeCell ref="AY18:AY19"/>
    <mergeCell ref="AZ18:AZ19"/>
    <mergeCell ref="AV4:AW4"/>
    <mergeCell ref="AV5:AV6"/>
    <mergeCell ref="AW5:AW6"/>
    <mergeCell ref="AX5:AX6"/>
    <mergeCell ref="AY5:AY6"/>
    <mergeCell ref="AZ5:AZ6"/>
    <mergeCell ref="AH5:AN5"/>
    <mergeCell ref="AH7:AH8"/>
    <mergeCell ref="AI7:AI8"/>
    <mergeCell ref="AJ7:AJ8"/>
    <mergeCell ref="AK7:AK8"/>
    <mergeCell ref="AL7:AL8"/>
    <mergeCell ref="AM7:AM8"/>
    <mergeCell ref="AN7:AN8"/>
    <mergeCell ref="AB5:AE5"/>
    <mergeCell ref="AB7:AB8"/>
    <mergeCell ref="AC7:AC8"/>
    <mergeCell ref="AD7:AD8"/>
    <mergeCell ref="AE7:AE8"/>
    <mergeCell ref="AB14:AD14"/>
    <mergeCell ref="AB15:AD17"/>
    <mergeCell ref="U5:U6"/>
    <mergeCell ref="V5:V6"/>
    <mergeCell ref="W5:W6"/>
    <mergeCell ref="X5:X6"/>
    <mergeCell ref="Y5:Y6"/>
    <mergeCell ref="Z5:Z6"/>
    <mergeCell ref="P25:P26"/>
    <mergeCell ref="Q25:Q26"/>
    <mergeCell ref="K21:R23"/>
    <mergeCell ref="T5:T6"/>
    <mergeCell ref="Q5:Q6"/>
    <mergeCell ref="K5:K6"/>
    <mergeCell ref="O5:O6"/>
    <mergeCell ref="K3:R3"/>
    <mergeCell ref="K25:K26"/>
    <mergeCell ref="L25:L26"/>
    <mergeCell ref="M25:M26"/>
    <mergeCell ref="N25:N26"/>
    <mergeCell ref="O25:O26"/>
    <mergeCell ref="L5:L6"/>
    <mergeCell ref="M5:M6"/>
    <mergeCell ref="N5:N6"/>
    <mergeCell ref="P5:P6"/>
    <mergeCell ref="A2:F2"/>
    <mergeCell ref="G2:I2"/>
  </mergeCells>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Ataskaita</vt:lpstr>
      <vt:lpstr>juodrastis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Osvaldas Daukšys</dc:creator>
  <cp:lastModifiedBy>Gintarė Jasiukevičiūtė</cp:lastModifiedBy>
  <dcterms:created xsi:type="dcterms:W3CDTF">2025-10-05T22:58:06Z</dcterms:created>
  <dcterms:modified xsi:type="dcterms:W3CDTF">2025-10-12T22:39:04Z</dcterms:modified>
</cp:coreProperties>
</file>